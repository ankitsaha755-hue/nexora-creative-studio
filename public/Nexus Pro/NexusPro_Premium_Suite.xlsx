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6" tabRatio="500" firstSheet="1" activeTab="1"/>
  </bookViews>
  <sheets>
    <sheet name="📊 Sales Dashboard" sheetId="1" r:id="rId1"/>
    <sheet name="Data" sheetId="2" r:id="rId2"/>
    <sheet name="📣 Marketing Dashboard" sheetId="3" r:id="rId3"/>
    <sheet name="MktData" sheetId="4" r:id="rId4"/>
    <sheet name="🏢 Business Overview" sheetId="5" r:id="rId5"/>
    <sheet name="BizData" sheetId="6" r:id="rId6"/>
    <sheet name="🧾 Invoice System" sheetId="7" r:id="rId7"/>
    <sheet name="ClientDB" sheetId="8" r:id="rId8"/>
    <sheet name="📋 README" sheetId="9" r:id="rId9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7" i="7"/>
  <c r="I26"/>
  <c r="I25"/>
  <c r="I28" s="1"/>
  <c r="I23"/>
  <c r="I22"/>
  <c r="I21"/>
  <c r="I20"/>
  <c r="I19"/>
  <c r="G17" i="5"/>
  <c r="G16"/>
  <c r="G14"/>
  <c r="G10"/>
  <c r="H62" i="1"/>
  <c r="G62"/>
  <c r="F62"/>
  <c r="E62"/>
  <c r="D62"/>
  <c r="C62"/>
</calcChain>
</file>

<file path=xl/sharedStrings.xml><?xml version="1.0" encoding="utf-8"?>
<sst xmlns="http://schemas.openxmlformats.org/spreadsheetml/2006/main" count="279" uniqueCount="244">
  <si>
    <t>⚡  NEXUS PRO — SALES DASHBOARD</t>
  </si>
  <si>
    <t>FY 2024  |  Live Analytics</t>
  </si>
  <si>
    <t>💰 TOTAL REVENUE</t>
  </si>
  <si>
    <t>📈 NET PROFIT</t>
  </si>
  <si>
    <t>👥 NEW CLIENTS</t>
  </si>
  <si>
    <t>$2,847,500</t>
  </si>
  <si>
    <t>$641,200</t>
  </si>
  <si>
    <t>847</t>
  </si>
  <si>
    <t>▲ 18.4%</t>
  </si>
  <si>
    <t>▲ 12.1%</t>
  </si>
  <si>
    <t>▲ 9.3%</t>
  </si>
  <si>
    <t>📦 UNITS SOLD</t>
  </si>
  <si>
    <t>🎯 CONV. RATE</t>
  </si>
  <si>
    <t>💳 AVG ORDER VAL</t>
  </si>
  <si>
    <t>14,230</t>
  </si>
  <si>
    <t>34.8%</t>
  </si>
  <si>
    <t>$1,247</t>
  </si>
  <si>
    <t>▲ 22.7%</t>
  </si>
  <si>
    <t>▲ 4.2%</t>
  </si>
  <si>
    <t>▼ 1.8%</t>
  </si>
  <si>
    <t>MONTH</t>
  </si>
  <si>
    <t>REVENUE</t>
  </si>
  <si>
    <t>UNITS SOLD</t>
  </si>
  <si>
    <t>PROFIT</t>
  </si>
  <si>
    <t>NEW CLIENTS</t>
  </si>
  <si>
    <t>CONV %</t>
  </si>
  <si>
    <t>AVG ORDER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</si>
  <si>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</si>
  <si>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</si>
  <si>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</si>
  <si>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</si>
  <si>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</si>
  <si>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</si>
  <si>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</si>
  <si>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</si>
  <si>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</si>
  <si>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</si>
  <si>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</si>
  <si>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</si>
  <si>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</si>
  <si>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Month</t>
  </si>
  <si>
    <t>Revenue</t>
  </si>
  <si>
    <t>Units</t>
  </si>
  <si>
    <t>Profit</t>
  </si>
  <si>
    <t>Clients</t>
  </si>
  <si>
    <t>Conv%</t>
  </si>
  <si>
    <t>AvgOrder</t>
  </si>
  <si>
    <t>Quarter</t>
  </si>
  <si>
    <t>Q1</t>
  </si>
  <si>
    <t>Q2</t>
  </si>
  <si>
    <t>Q3</t>
  </si>
  <si>
    <t>Q4</t>
  </si>
  <si>
    <t>📣  NEXUS PRO — MARKETING PERFORMANCE</t>
  </si>
  <si>
    <t>🌐 TOTAL IMPRESSIONS</t>
  </si>
  <si>
    <t>🖱️ TOTAL CLICKS</t>
  </si>
  <si>
    <t>💡 CONVERSIONS</t>
  </si>
  <si>
    <t>2,483,000</t>
  </si>
  <si>
    <t>108,050</t>
  </si>
  <si>
    <t>4,493</t>
  </si>
  <si>
    <t>▲ 31.2%</t>
  </si>
  <si>
    <t>▲ 18.6%</t>
  </si>
  <si>
    <t>▲ 24.1%</t>
  </si>
  <si>
    <t>💸 TOTAL AD SPEND</t>
  </si>
  <si>
    <t>📊 AVG CTR</t>
  </si>
  <si>
    <t>🏆 AVG ROI</t>
  </si>
  <si>
    <t>$53,500</t>
  </si>
  <si>
    <t>4.35%</t>
  </si>
  <si>
    <t>321%</t>
  </si>
  <si>
    <t>▼ 8.3%</t>
  </si>
  <si>
    <t>▲ 5.7%</t>
  </si>
  <si>
    <t>▲ 42.9%</t>
  </si>
  <si>
    <t>CHANNEL</t>
  </si>
  <si>
    <t>IMPRESSIONS</t>
  </si>
  <si>
    <t>CLICKS</t>
  </si>
  <si>
    <t>CONVERSIONS</t>
  </si>
  <si>
    <t>SPEND ($)</t>
  </si>
  <si>
    <t>REVENUE ($)</t>
  </si>
  <si>
    <t>CTR</t>
  </si>
  <si>
    <t>ROI %</t>
  </si>
  <si>
    <t>Google Ads</t>
  </si>
  <si>
    <t>450,000</t>
  </si>
  <si>
    <t>18,000</t>
  </si>
  <si>
    <t>720</t>
  </si>
  <si>
    <t>$12,500</t>
  </si>
  <si>
    <t>$36,000</t>
  </si>
  <si>
    <t>4.00%</t>
  </si>
  <si>
    <t>188%</t>
  </si>
  <si>
    <t>Facebook</t>
  </si>
  <si>
    <t>320,000</t>
  </si>
  <si>
    <t>12,800</t>
  </si>
  <si>
    <t>512</t>
  </si>
  <si>
    <t>$8,900</t>
  </si>
  <si>
    <t>$25,600</t>
  </si>
  <si>
    <t>Instagram</t>
  </si>
  <si>
    <t>280,000</t>
  </si>
  <si>
    <t>11,200</t>
  </si>
  <si>
    <t>448</t>
  </si>
  <si>
    <t>$7,200</t>
  </si>
  <si>
    <t>$22,400</t>
  </si>
  <si>
    <t>211%</t>
  </si>
  <si>
    <t>LinkedIn</t>
  </si>
  <si>
    <t>150,000</t>
  </si>
  <si>
    <t>6,000</t>
  </si>
  <si>
    <t>240</t>
  </si>
  <si>
    <t>$4,500</t>
  </si>
  <si>
    <t>$12,000</t>
  </si>
  <si>
    <t>167%</t>
  </si>
  <si>
    <t>Email</t>
  </si>
  <si>
    <t>95,000</t>
  </si>
  <si>
    <t>8,550</t>
  </si>
  <si>
    <t>513</t>
  </si>
  <si>
    <t>$1,200</t>
  </si>
  <si>
    <t>$25,650</t>
  </si>
  <si>
    <t>9.00%</t>
  </si>
  <si>
    <t>2038%</t>
  </si>
  <si>
    <t>SEO</t>
  </si>
  <si>
    <t>620,000</t>
  </si>
  <si>
    <t>24,800</t>
  </si>
  <si>
    <t>992</t>
  </si>
  <si>
    <t>$3,800</t>
  </si>
  <si>
    <t>$49,600</t>
  </si>
  <si>
    <t>1205%</t>
  </si>
  <si>
    <t>YouTube</t>
  </si>
  <si>
    <t>180,000</t>
  </si>
  <si>
    <t>7,200</t>
  </si>
  <si>
    <t>288</t>
  </si>
  <si>
    <t>$5,600</t>
  </si>
  <si>
    <t>$14,400</t>
  </si>
  <si>
    <t>157%</t>
  </si>
  <si>
    <t>TikTok</t>
  </si>
  <si>
    <t>390,000</t>
  </si>
  <si>
    <t>19,500</t>
  </si>
  <si>
    <t>780</t>
  </si>
  <si>
    <t>$9,800</t>
  </si>
  <si>
    <t>$39,000</t>
  </si>
  <si>
    <t>5.00%</t>
  </si>
  <si>
    <t>298%</t>
  </si>
  <si>
    <t>Channel</t>
  </si>
  <si>
    <t>Impressions</t>
  </si>
  <si>
    <t>Clicks</t>
  </si>
  <si>
    <t>Conversions</t>
  </si>
  <si>
    <t>Spend</t>
  </si>
  <si>
    <t>ROI</t>
  </si>
  <si>
    <t>🏢  NEXUS PRO — BUSINESS OVERVIEW</t>
  </si>
  <si>
    <t>▸  PROFIT &amp; LOSS SUMMARY  |  FY 2024</t>
  </si>
  <si>
    <t>💼 REVENUE</t>
  </si>
  <si>
    <t>GROSS REVENUE</t>
  </si>
  <si>
    <t>Cost of Goods Sold</t>
  </si>
  <si>
    <t>GROSS PROFIT</t>
  </si>
  <si>
    <t>Operating Expenses</t>
  </si>
  <si>
    <t>Marketing Spend</t>
  </si>
  <si>
    <t>✅ NET PROFIT</t>
  </si>
  <si>
    <t>R&amp;D Expenses</t>
  </si>
  <si>
    <t>EBITDA</t>
  </si>
  <si>
    <t>Depreciation</t>
  </si>
  <si>
    <t>Tax (28%)</t>
  </si>
  <si>
    <t>NET PROFIT</t>
  </si>
  <si>
    <t>📉 PROFIT MARGIN</t>
  </si>
  <si>
    <t>22.5%</t>
  </si>
  <si>
    <t>🔁 YoY GROWTH</t>
  </si>
  <si>
    <t>+18.4%</t>
  </si>
  <si>
    <t>Category</t>
  </si>
  <si>
    <t>Amount</t>
  </si>
  <si>
    <t>COGS</t>
  </si>
  <si>
    <t>Operations</t>
  </si>
  <si>
    <t>Marketing</t>
  </si>
  <si>
    <t>R&amp;D</t>
  </si>
  <si>
    <t>Tax</t>
  </si>
  <si>
    <t>NEXUS SOLUTIONS LTD.</t>
  </si>
  <si>
    <t>INVOICE</t>
  </si>
  <si>
    <t>123 Business Avenue, Suite 400
New York, NY 10001
info@nexussolutions.com  |  +1 (555) 000-1234</t>
  </si>
  <si>
    <t>INVOICE #:
DATE:
DUE DATE:</t>
  </si>
  <si>
    <t>BILL TO:</t>
  </si>
  <si>
    <t>INVOICE DETAILS:</t>
  </si>
  <si>
    <t>Client Name:</t>
  </si>
  <si>
    <t>← Select Client</t>
  </si>
  <si>
    <t>Invoice #:</t>
  </si>
  <si>
    <t>INV-2024-001</t>
  </si>
  <si>
    <t>Email:</t>
  </si>
  <si>
    <t>Issue Date:</t>
  </si>
  <si>
    <t>2024-01-15</t>
  </si>
  <si>
    <t>Phone:</t>
  </si>
  <si>
    <t>Due Date:</t>
  </si>
  <si>
    <t>2024-02-15</t>
  </si>
  <si>
    <t>Address:</t>
  </si>
  <si>
    <t>Status:</t>
  </si>
  <si>
    <t>UNPAID</t>
  </si>
  <si>
    <t>City, State, ZIP:</t>
  </si>
  <si>
    <t>Payment Method:</t>
  </si>
  <si>
    <t>Bank Transfer</t>
  </si>
  <si>
    <t>#</t>
  </si>
  <si>
    <t>DESCRIPTION</t>
  </si>
  <si>
    <t>SERVICE TYPE</t>
  </si>
  <si>
    <t>QTY</t>
  </si>
  <si>
    <t>UNIT PRICE</t>
  </si>
  <si>
    <t>DISCOUNT</t>
  </si>
  <si>
    <t>TAX %</t>
  </si>
  <si>
    <t>Web Design &amp; Development</t>
  </si>
  <si>
    <t>Design Services</t>
  </si>
  <si>
    <t>Monthly SEO Management</t>
  </si>
  <si>
    <t>Logo &amp; Brand Identity</t>
  </si>
  <si>
    <t>Social Media Management</t>
  </si>
  <si>
    <t>Business Consulting</t>
  </si>
  <si>
    <t>Consulting</t>
  </si>
  <si>
    <t>SUBTOTAL:</t>
  </si>
  <si>
    <t>TOTAL DISCOUNT:</t>
  </si>
  <si>
    <t>TAX AMOUNT:</t>
  </si>
  <si>
    <t>GRAND TOTAL:</t>
  </si>
  <si>
    <t>NOTES &amp; PAYMENT TERMS:</t>
  </si>
  <si>
    <t>Payment due within 30 days of invoice date.
Late payments subject to 1.5% monthly interest.
Bank: Chase Business  |  Account: XXXX-XXXX-4521
Thank you for your business! 🙏</t>
  </si>
  <si>
    <t>NEXUS SOLUTIONS LTD.  |  Powered by Nexus Pro Suite  |  www.nexussolutions.com</t>
  </si>
  <si>
    <t>Acme Corp</t>
  </si>
  <si>
    <t>acme@acme.com</t>
  </si>
  <si>
    <t>Globex Industries</t>
  </si>
  <si>
    <t>contact@globex.com</t>
  </si>
  <si>
    <t>Initech LLC</t>
  </si>
  <si>
    <t>hr@initech.com</t>
  </si>
  <si>
    <t>Umbrella Co</t>
  </si>
  <si>
    <t>info@umbrella.com</t>
  </si>
  <si>
    <t>Soylent Corp</t>
  </si>
  <si>
    <t>sales@soylent.com</t>
  </si>
  <si>
    <t>Stark Industries</t>
  </si>
  <si>
    <t>tony@stark.com</t>
  </si>
  <si>
    <t>Wayne Enterprises</t>
  </si>
  <si>
    <t>bruce@wayne.com</t>
  </si>
  <si>
    <t>Oscorp Ltd</t>
  </si>
  <si>
    <t>norman@oscorp.com</t>
  </si>
  <si>
    <t>⚡  NEXUS PRO SUITE — USER GUIDE</t>
  </si>
  <si>
    <t>📊 SALES DASHBOARD</t>
  </si>
  <si>
    <t>View monthly sales, profit, and KPIs. Charts update automatically when Data sheet is modified.</t>
  </si>
  <si>
    <t>📣 MARKETING DASHBOARD</t>
  </si>
  <si>
    <t>Track channel ROI, impressions, clicks, and spend vs. revenue across 8 marketing channels.</t>
  </si>
  <si>
    <t>🏢 BUSINESS OVERVIEW</t>
  </si>
  <si>
    <t>Full P&amp;L summary with expense breakdown pie chart. Edit cells C8:C17 for custom financials.</t>
  </si>
  <si>
    <t>🧾 INVOICE SYSTEM</t>
  </si>
  <si>
    <t>Enter line items in columns F-I (rows 19-23). Grand Total auto-calculates with tax &amp; discount.</t>
  </si>
  <si>
    <t>🔧 CUSTOMIZATION</t>
  </si>
  <si>
    <t>Replace 'NEXUS SOLUTIONS LTD.' in Invoice sheet with your company name. Update colors via cell fills.</t>
  </si>
  <si>
    <t>📤 PDF EXPORT</t>
  </si>
  <si>
    <t>Go to File &gt; Export &gt; PDF. Invoice sheet is pre-formatted for A4 / Letter print layout.</t>
  </si>
  <si>
    <t>📋 CLIENT DATABASE</t>
  </si>
  <si>
    <t>Add clients to the hidden 'ClientDB' sheet. Names available as dropdown in Invoice sheet.</t>
  </si>
  <si>
    <t>⚠️ DATA SHEET</t>
  </si>
  <si>
    <t>The 'Data' sheet is hidden. Unhide via right-click on tabs to edit raw sales data.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</si>
</sst>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\$#,##0.00"/>
  </numFmts>
  <fonts count="35">
    <font>
      <sz val="11"/>
      <color theme="1"/>
      <name val="Calibri"/>
      <family val="2"/>
      <charset val="1"/>
    </font>
    <font>
      <b/>
      <sz val="22"/>
      <color rgb="FFFFD700"/>
      <name val="Calibri"/>
      <charset val="1"/>
    </font>
    <font>
      <sz val="12"/>
      <color rgb="FFAAAAAA"/>
      <name val="Calibri"/>
      <charset val="1"/>
    </font>
    <font>
      <b/>
      <sz val="9"/>
      <color rgb="FFFFD700"/>
      <name val="Calibri"/>
      <charset val="1"/>
    </font>
    <font>
      <b/>
      <sz val="9"/>
      <color rgb="FF00E676"/>
      <name val="Calibri"/>
      <charset val="1"/>
    </font>
    <font>
      <b/>
      <sz val="9"/>
      <color rgb="FF00D4FF"/>
      <name val="Calibri"/>
      <charset val="1"/>
    </font>
    <font>
      <b/>
      <sz val="20"/>
      <color rgb="FFFFFFFF"/>
      <name val="Calibri"/>
      <charset val="1"/>
    </font>
    <font>
      <b/>
      <sz val="9"/>
      <color rgb="FF7C4DFF"/>
      <name val="Calibri"/>
      <charset val="1"/>
    </font>
    <font>
      <b/>
      <sz val="9"/>
      <color rgb="FFFF4444"/>
      <name val="Calibri"/>
      <charset val="1"/>
    </font>
    <font>
      <b/>
      <sz val="10"/>
      <color rgb="FFFFD700"/>
      <name val="Calibri"/>
      <charset val="1"/>
    </font>
    <font>
      <sz val="10"/>
      <color rgb="FFFFFFFF"/>
      <name val="Calibri"/>
      <charset val="1"/>
    </font>
    <font>
      <b/>
      <sz val="22"/>
      <color rgb="FF00D4FF"/>
      <name val="Calibri"/>
      <charset val="1"/>
    </font>
    <font>
      <b/>
      <sz val="10"/>
      <color rgb="FF00D4FF"/>
      <name val="Calibri"/>
      <charset val="1"/>
    </font>
    <font>
      <b/>
      <sz val="22"/>
      <color rgb="FF00E676"/>
      <name val="Calibri"/>
      <charset val="1"/>
    </font>
    <font>
      <b/>
      <sz val="13"/>
      <color rgb="FF00E676"/>
      <name val="Calibri"/>
      <charset val="1"/>
    </font>
    <font>
      <b/>
      <sz val="11"/>
      <color rgb="FFFFD700"/>
      <name val="Calibri"/>
      <charset val="1"/>
    </font>
    <font>
      <b/>
      <sz val="11"/>
      <color rgb="FF00E676"/>
      <name val="Calibri"/>
      <charset val="1"/>
    </font>
    <font>
      <b/>
      <sz val="18"/>
      <color rgb="FFFFFFFF"/>
      <name val="Calibri"/>
      <charset val="1"/>
    </font>
    <font>
      <sz val="10"/>
      <color rgb="FFFF4444"/>
      <name val="Calibri"/>
      <charset val="1"/>
    </font>
    <font>
      <b/>
      <sz val="26"/>
      <color rgb="FFFFD700"/>
      <name val="Calibri"/>
      <charset val="1"/>
    </font>
    <font>
      <b/>
      <sz val="30"/>
      <color rgb="FF00D4FF"/>
      <name val="Calibri"/>
      <charset val="1"/>
    </font>
    <font>
      <sz val="9"/>
      <color rgb="FFAAAAAA"/>
      <name val="Calibri"/>
      <charset val="1"/>
    </font>
    <font>
      <b/>
      <sz val="9"/>
      <color rgb="FFAAAAAA"/>
      <name val="Calibri"/>
      <charset val="1"/>
    </font>
    <font>
      <sz val="10"/>
      <color rgb="FF2A2A4A"/>
      <name val="Calibri"/>
      <charset val="1"/>
    </font>
    <font>
      <b/>
      <sz val="10"/>
      <color rgb="FF2A2A4A"/>
      <name val="Calibri"/>
      <charset val="1"/>
    </font>
    <font>
      <b/>
      <sz val="10"/>
      <color rgb="FFFF4444"/>
      <name val="Calibri"/>
      <charset val="1"/>
    </font>
    <font>
      <b/>
      <sz val="10"/>
      <color rgb="FFFFFFFF"/>
      <name val="Calibri"/>
      <charset val="1"/>
    </font>
    <font>
      <sz val="10"/>
      <color rgb="FFAAAAAA"/>
      <name val="Calibri"/>
      <charset val="1"/>
    </font>
    <font>
      <b/>
      <sz val="10"/>
      <color rgb="FF1A1A2E"/>
      <name val="Calibri"/>
      <charset val="1"/>
    </font>
    <font>
      <sz val="10"/>
      <color rgb="FF1A1A2E"/>
      <name val="Calibri"/>
      <charset val="1"/>
    </font>
    <font>
      <b/>
      <sz val="11"/>
      <color rgb="FFFFFFFF"/>
      <name val="Calibri"/>
      <charset val="1"/>
    </font>
    <font>
      <b/>
      <sz val="12"/>
      <color rgb="FFFFD700"/>
      <name val="Calibri"/>
      <charset val="1"/>
    </font>
    <font>
      <b/>
      <sz val="9"/>
      <color rgb="FF1A1A2E"/>
      <name val="Calibri"/>
      <charset val="1"/>
    </font>
    <font>
      <b/>
      <sz val="24"/>
      <color rgb="FFFFD700"/>
      <name val="Calibri"/>
      <charset val="1"/>
    </font>
    <font>
      <b/>
      <sz val="12"/>
      <color rgb="FF00D4FF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16213E"/>
        <bgColor rgb="FF1A1A2E"/>
      </patternFill>
    </fill>
    <fill>
      <patternFill patternType="solid">
        <fgColor rgb="FF0D0D0D"/>
        <bgColor rgb="FF000000"/>
      </patternFill>
    </fill>
    <fill>
      <patternFill patternType="solid">
        <fgColor rgb="FF1A1A2E"/>
        <bgColor rgb="FF16213E"/>
      </patternFill>
    </fill>
    <fill>
      <patternFill patternType="solid">
        <fgColor rgb="FF0F3460"/>
        <bgColor rgb="FF2A2A4A"/>
      </patternFill>
    </fill>
    <fill>
      <patternFill patternType="solid">
        <fgColor rgb="FFF8F9FF"/>
        <bgColor rgb="FFF9F9F9"/>
      </patternFill>
    </fill>
    <fill>
      <patternFill patternType="solid">
        <fgColor rgb="FFEEF0FF"/>
        <bgColor rgb="FFF0F2FF"/>
      </patternFill>
    </fill>
    <fill>
      <patternFill patternType="solid">
        <fgColor rgb="FFFFFFFF"/>
        <bgColor rgb="FFF8F9FF"/>
      </patternFill>
    </fill>
    <fill>
      <patternFill patternType="solid">
        <fgColor rgb="FFF0F2FF"/>
        <bgColor rgb="FFEEF0FF"/>
      </patternFill>
    </fill>
  </fills>
  <borders count="6">
    <border>
      <left/>
      <right/>
      <top/>
      <bottom/>
      <diagonal/>
    </border>
    <border>
      <left style="thin">
        <color rgb="FF2A2A4A"/>
      </left>
      <right style="thin">
        <color rgb="FF2A2A4A"/>
      </right>
      <top style="thin">
        <color rgb="FF2A2A4A"/>
      </top>
      <bottom style="thin">
        <color rgb="FF2A2A4A"/>
      </bottom>
      <diagonal/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  <diagonal/>
    </border>
    <border>
      <left/>
      <right/>
      <top/>
      <bottom style="thin">
        <color rgb="FFCCCCD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DDDEE"/>
      </left>
      <right style="thin">
        <color rgb="FFDDDDEE"/>
      </right>
      <top style="thin">
        <color rgb="FFDDDDEE"/>
      </top>
      <bottom style="thin">
        <color rgb="FFDDDDEE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7" fillId="4" borderId="0" xfId="0" applyFont="1" applyFill="1" applyBorder="1" applyAlignment="1">
      <alignment horizontal="center" vertical="center"/>
    </xf>
    <xf numFmtId="3" fontId="16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/>
    </xf>
    <xf numFmtId="0" fontId="14" fillId="4" borderId="0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left" vertical="center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  <xf numFmtId="0" fontId="9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64" fontId="10" fillId="5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10" fontId="9" fillId="2" borderId="2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0" fillId="6" borderId="0" xfId="0" applyFill="1" applyAlignment="1"/>
    <xf numFmtId="0" fontId="22" fillId="6" borderId="0" xfId="0" applyFont="1" applyFill="1" applyAlignment="1"/>
    <xf numFmtId="0" fontId="21" fillId="6" borderId="0" xfId="0" applyFont="1" applyFill="1" applyAlignment="1"/>
    <xf numFmtId="0" fontId="26" fillId="2" borderId="4" xfId="0" applyFont="1" applyFill="1" applyBorder="1" applyAlignment="1">
      <alignment horizontal="center" vertical="center"/>
    </xf>
    <xf numFmtId="0" fontId="27" fillId="8" borderId="5" xfId="0" applyFont="1" applyFill="1" applyBorder="1" applyAlignment="1">
      <alignment horizontal="center" vertical="center"/>
    </xf>
    <xf numFmtId="0" fontId="28" fillId="8" borderId="5" xfId="0" applyFont="1" applyFill="1" applyBorder="1" applyAlignment="1">
      <alignment horizontal="left" vertical="center"/>
    </xf>
    <xf numFmtId="0" fontId="29" fillId="8" borderId="5" xfId="0" applyFont="1" applyFill="1" applyBorder="1" applyAlignment="1">
      <alignment horizontal="center" vertical="center"/>
    </xf>
    <xf numFmtId="4" fontId="29" fillId="8" borderId="5" xfId="0" applyNumberFormat="1" applyFont="1" applyFill="1" applyBorder="1" applyAlignment="1">
      <alignment horizontal="center" vertical="center"/>
    </xf>
    <xf numFmtId="9" fontId="29" fillId="8" borderId="5" xfId="0" applyNumberFormat="1" applyFont="1" applyFill="1" applyBorder="1" applyAlignment="1">
      <alignment horizontal="center" vertical="center"/>
    </xf>
    <xf numFmtId="165" fontId="28" fillId="8" borderId="5" xfId="0" applyNumberFormat="1" applyFont="1" applyFill="1" applyBorder="1" applyAlignment="1">
      <alignment horizontal="center" vertical="center"/>
    </xf>
    <xf numFmtId="0" fontId="27" fillId="9" borderId="5" xfId="0" applyFont="1" applyFill="1" applyBorder="1" applyAlignment="1">
      <alignment horizontal="center" vertical="center"/>
    </xf>
    <xf numFmtId="0" fontId="28" fillId="9" borderId="5" xfId="0" applyFont="1" applyFill="1" applyBorder="1" applyAlignment="1">
      <alignment horizontal="left" vertical="center"/>
    </xf>
    <xf numFmtId="0" fontId="29" fillId="9" borderId="5" xfId="0" applyFont="1" applyFill="1" applyBorder="1" applyAlignment="1">
      <alignment horizontal="center" vertical="center"/>
    </xf>
    <xf numFmtId="4" fontId="29" fillId="9" borderId="5" xfId="0" applyNumberFormat="1" applyFont="1" applyFill="1" applyBorder="1" applyAlignment="1">
      <alignment horizontal="center" vertical="center"/>
    </xf>
    <xf numFmtId="9" fontId="29" fillId="9" borderId="5" xfId="0" applyNumberFormat="1" applyFont="1" applyFill="1" applyBorder="1" applyAlignment="1">
      <alignment horizontal="center" vertical="center"/>
    </xf>
    <xf numFmtId="165" fontId="28" fillId="9" borderId="5" xfId="0" applyNumberFormat="1" applyFont="1" applyFill="1" applyBorder="1" applyAlignment="1">
      <alignment horizontal="center" vertical="center"/>
    </xf>
    <xf numFmtId="165" fontId="29" fillId="9" borderId="0" xfId="0" applyNumberFormat="1" applyFont="1" applyFill="1" applyAlignment="1">
      <alignment horizontal="center" vertical="center"/>
    </xf>
    <xf numFmtId="165" fontId="18" fillId="9" borderId="0" xfId="0" applyNumberFormat="1" applyFont="1" applyFill="1" applyAlignment="1">
      <alignment horizontal="center" vertical="center"/>
    </xf>
    <xf numFmtId="165" fontId="27" fillId="9" borderId="0" xfId="0" applyNumberFormat="1" applyFont="1" applyFill="1" applyAlignment="1">
      <alignment horizontal="center" vertical="center"/>
    </xf>
    <xf numFmtId="165" fontId="31" fillId="2" borderId="0" xfId="0" applyNumberFormat="1" applyFont="1" applyFill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3" fontId="18" fillId="4" borderId="1" xfId="0" applyNumberFormat="1" applyFont="1" applyFill="1" applyBorder="1" applyAlignment="1">
      <alignment horizontal="center" vertical="center"/>
    </xf>
    <xf numFmtId="3" fontId="10" fillId="4" borderId="1" xfId="0" applyNumberFormat="1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left" vertical="center"/>
    </xf>
    <xf numFmtId="0" fontId="20" fillId="2" borderId="0" xfId="0" applyFont="1" applyFill="1" applyBorder="1" applyAlignment="1">
      <alignment horizontal="right" vertical="center"/>
    </xf>
    <xf numFmtId="0" fontId="21" fillId="2" borderId="0" xfId="0" applyFont="1" applyFill="1" applyBorder="1" applyAlignment="1">
      <alignment horizontal="left" vertical="center" wrapText="1"/>
    </xf>
    <xf numFmtId="0" fontId="21" fillId="2" borderId="0" xfId="0" applyFont="1" applyFill="1" applyBorder="1" applyAlignment="1">
      <alignment horizontal="right" vertical="top" wrapText="1"/>
    </xf>
    <xf numFmtId="0" fontId="3" fillId="4" borderId="0" xfId="0" applyFont="1" applyFill="1" applyBorder="1" applyAlignment="1">
      <alignment horizontal="left" vertical="center"/>
    </xf>
    <xf numFmtId="0" fontId="23" fillId="7" borderId="3" xfId="0" applyFont="1" applyFill="1" applyBorder="1" applyAlignment="1"/>
    <xf numFmtId="0" fontId="24" fillId="7" borderId="3" xfId="0" applyFont="1" applyFill="1" applyBorder="1" applyAlignment="1"/>
    <xf numFmtId="0" fontId="25" fillId="7" borderId="3" xfId="0" applyFont="1" applyFill="1" applyBorder="1" applyAlignment="1"/>
    <xf numFmtId="0" fontId="29" fillId="9" borderId="0" xfId="0" applyFont="1" applyFill="1" applyBorder="1" applyAlignment="1">
      <alignment horizontal="right" vertical="center"/>
    </xf>
    <xf numFmtId="0" fontId="30" fillId="2" borderId="0" xfId="0" applyFont="1" applyFill="1" applyBorder="1" applyAlignment="1">
      <alignment horizontal="right" vertical="center"/>
    </xf>
    <xf numFmtId="0" fontId="32" fillId="4" borderId="0" xfId="0" applyFont="1" applyFill="1" applyBorder="1" applyAlignment="1">
      <alignment horizontal="left" vertical="center"/>
    </xf>
    <xf numFmtId="0" fontId="21" fillId="9" borderId="0" xfId="0" applyFont="1" applyFill="1" applyBorder="1" applyAlignment="1">
      <alignment horizontal="left" vertical="top" wrapText="1"/>
    </xf>
    <xf numFmtId="0" fontId="21" fillId="2" borderId="0" xfId="0" applyFont="1" applyFill="1" applyBorder="1" applyAlignment="1">
      <alignment horizontal="center" vertical="center"/>
    </xf>
    <xf numFmtId="0" fontId="33" fillId="2" borderId="0" xfId="0" applyFont="1" applyFill="1" applyBorder="1" applyAlignment="1">
      <alignment horizontal="center" vertical="center"/>
    </xf>
    <xf numFmtId="0" fontId="34" fillId="4" borderId="0" xfId="0" applyFont="1" applyFill="1" applyBorder="1" applyAlignment="1">
      <alignment horizontal="left" vertical="center"/>
    </xf>
    <xf numFmtId="0" fontId="27" fillId="3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E676"/>
      <rgbColor rgb="FF0000FF"/>
      <rgbColor rgb="FFFFFF00"/>
      <rgbColor rgb="FFFF00FF"/>
      <rgbColor rgb="FF00FFFF"/>
      <rgbColor rgb="FF800000"/>
      <rgbColor rgb="FF008000"/>
      <rgbColor rgb="FF0D0D0D"/>
      <rgbColor rgb="FF808000"/>
      <rgbColor rgb="FF800080"/>
      <rgbColor rgb="FF008080"/>
      <rgbColor rgb="FFD9D9D9"/>
      <rgbColor rgb="FF878787"/>
      <rgbColor rgb="FF9999FF"/>
      <rgbColor rgb="FFC0504D"/>
      <rgbColor rgb="FFF9F9F9"/>
      <rgbColor rgb="FFEEF0FF"/>
      <rgbColor rgb="FF660066"/>
      <rgbColor rgb="FFFF8080"/>
      <rgbColor rgb="FF0066CC"/>
      <rgbColor rgb="FFCCCC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4FF"/>
      <rgbColor rgb="FFF0F2FF"/>
      <rgbColor rgb="FFF8F9FF"/>
      <rgbColor rgb="FFFFFF99"/>
      <rgbColor rgb="FF99CCFF"/>
      <rgbColor rgb="FFFF99CC"/>
      <rgbColor rgb="FFCC99FF"/>
      <rgbColor rgb="FFDDDDEE"/>
      <rgbColor rgb="FF4F81BD"/>
      <rgbColor rgb="FF4BACC6"/>
      <rgbColor rgb="FF9BBB59"/>
      <rgbColor rgb="FFFFD700"/>
      <rgbColor rgb="FFFF9900"/>
      <rgbColor rgb="FFFF4444"/>
      <rgbColor rgb="FF8064A2"/>
      <rgbColor rgb="FFAAAAAA"/>
      <rgbColor rgb="FF0F3460"/>
      <rgbColor rgb="FF339966"/>
      <rgbColor rgb="FF16213E"/>
      <rgbColor rgb="FF1A1A2E"/>
      <rgbColor rgb="FF993300"/>
      <rgbColor rgb="FF993366"/>
      <rgbColor rgb="FF7C4DFF"/>
      <rgbColor rgb="FF2A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— FY 2024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Data!$B$1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FFD700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Data!$B$2:$B$13</c:f>
              <c:numCache>
                <c:formatCode>General</c:formatCode>
                <c:ptCount val="12"/>
                <c:pt idx="0">
                  <c:v>185000</c:v>
                </c:pt>
                <c:pt idx="1">
                  <c:v>195000</c:v>
                </c:pt>
                <c:pt idx="2">
                  <c:v>210000</c:v>
                </c:pt>
                <c:pt idx="3">
                  <c:v>225000</c:v>
                </c:pt>
                <c:pt idx="4">
                  <c:v>240000</c:v>
                </c:pt>
                <c:pt idx="5">
                  <c:v>255000</c:v>
                </c:pt>
                <c:pt idx="6">
                  <c:v>270000</c:v>
                </c:pt>
                <c:pt idx="7">
                  <c:v>265000</c:v>
                </c:pt>
                <c:pt idx="8">
                  <c:v>280000</c:v>
                </c:pt>
                <c:pt idx="9">
                  <c:v>290000</c:v>
                </c:pt>
                <c:pt idx="10">
                  <c:v>295000</c:v>
                </c:pt>
                <c:pt idx="11">
                  <c:v>337500</c:v>
                </c:pt>
              </c:numCache>
            </c:numRef>
          </c:val>
        </c:ser>
        <c:axId val="142427264"/>
        <c:axId val="142429184"/>
      </c:barChart>
      <c:catAx>
        <c:axId val="142427264"/>
        <c:scaling>
          <c:orientation val="minMax"/>
        </c:scaling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0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2429184"/>
        <c:crosses val="autoZero"/>
        <c:auto val="1"/>
        <c:lblAlgn val="ctr"/>
        <c:lblOffset val="100"/>
      </c:catAx>
      <c:valAx>
        <c:axId val="142429184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0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24272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Profit Trend</a:t>
            </a:r>
          </a:p>
        </c:rich>
      </c:tx>
      <c:layout/>
      <c:spPr>
        <a:noFill/>
        <a:ln w="0">
          <a:noFill/>
        </a:ln>
      </c:spPr>
    </c:title>
    <c:plotArea>
      <c:layout/>
      <c:lineChart>
        <c:grouping val="standard"/>
        <c:ser>
          <c:idx val="0"/>
          <c:order val="0"/>
          <c:tx>
            <c:strRef>
              <c:f>Data!$D$1</c:f>
              <c:strCache>
                <c:ptCount val="1"/>
                <c:pt idx="0">
                  <c:v>Profit</c:v>
                </c:pt>
              </c:strCache>
            </c:strRef>
          </c:tx>
          <c:spPr>
            <a:ln w="24840">
              <a:solidFill>
                <a:srgbClr val="00E676"/>
              </a:solidFill>
              <a:round/>
            </a:ln>
          </c:spPr>
          <c:marker>
            <c:symbol val="none"/>
          </c:marker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Data!$D$2:$D$13</c:f>
              <c:numCache>
                <c:formatCode>General</c:formatCode>
                <c:ptCount val="12"/>
                <c:pt idx="0">
                  <c:v>41000</c:v>
                </c:pt>
                <c:pt idx="1">
                  <c:v>43500</c:v>
                </c:pt>
                <c:pt idx="2">
                  <c:v>47000</c:v>
                </c:pt>
                <c:pt idx="3">
                  <c:v>50000</c:v>
                </c:pt>
                <c:pt idx="4">
                  <c:v>53000</c:v>
                </c:pt>
                <c:pt idx="5">
                  <c:v>56000</c:v>
                </c:pt>
                <c:pt idx="6">
                  <c:v>60000</c:v>
                </c:pt>
                <c:pt idx="7">
                  <c:v>58000</c:v>
                </c:pt>
                <c:pt idx="8">
                  <c:v>62500</c:v>
                </c:pt>
                <c:pt idx="9">
                  <c:v>65000</c:v>
                </c:pt>
                <c:pt idx="10">
                  <c:v>66000</c:v>
                </c:pt>
                <c:pt idx="11">
                  <c:v>88200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42782848"/>
        <c:axId val="142784384"/>
      </c:lineChart>
      <c:catAx>
        <c:axId val="142782848"/>
        <c:scaling>
          <c:orientation val="minMax"/>
        </c:scaling>
        <c:axPos val="b"/>
        <c:numFmt formatCode="General" sourceLinked="0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2784384"/>
        <c:crosses val="autoZero"/>
        <c:auto val="1"/>
        <c:lblAlgn val="ctr"/>
        <c:lblOffset val="100"/>
      </c:catAx>
      <c:valAx>
        <c:axId val="142784384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Profit ($)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0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27828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Quarter</a:t>
            </a:r>
          </a:p>
        </c:rich>
      </c:tx>
      <c:layout/>
      <c:spPr>
        <a:noFill/>
        <a:ln w="0">
          <a:noFill/>
        </a:ln>
      </c:spPr>
    </c:title>
    <c:plotArea>
      <c:layout/>
      <c:pieChart>
        <c:varyColors val="1"/>
        <c:ser>
          <c:idx val="0"/>
          <c:order val="0"/>
          <c:tx>
            <c:strRef>
              <c:f>Data!$J$1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cat>
            <c:strRef>
              <c:f>Data!$I$2:$I$5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Data!$J$2:$J$5</c:f>
              <c:numCache>
                <c:formatCode>General</c:formatCode>
                <c:ptCount val="4"/>
                <c:pt idx="0">
                  <c:v>590000</c:v>
                </c:pt>
                <c:pt idx="1">
                  <c:v>720000</c:v>
                </c:pt>
                <c:pt idx="2">
                  <c:v>815000</c:v>
                </c:pt>
                <c:pt idx="3">
                  <c:v>922500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ROI by Channel (%)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bar"/>
        <c:grouping val="clustered"/>
        <c:ser>
          <c:idx val="0"/>
          <c:order val="0"/>
          <c:tx>
            <c:strRef>
              <c:f>MktData!$H$1</c:f>
              <c:strCache>
                <c:ptCount val="1"/>
                <c:pt idx="0">
                  <c:v>ROI</c:v>
                </c:pt>
              </c:strCache>
            </c:strRef>
          </c:tx>
          <c:spPr>
            <a:solidFill>
              <a:srgbClr val="00D4FF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MktData!$A$2:$A$9</c:f>
              <c:strCache>
                <c:ptCount val="8"/>
                <c:pt idx="0">
                  <c:v>Google Ads</c:v>
                </c:pt>
                <c:pt idx="1">
                  <c:v>Facebook</c:v>
                </c:pt>
                <c:pt idx="2">
                  <c:v>Instagram</c:v>
                </c:pt>
                <c:pt idx="3">
                  <c:v>LinkedIn</c:v>
                </c:pt>
                <c:pt idx="4">
                  <c:v>Email</c:v>
                </c:pt>
                <c:pt idx="5">
                  <c:v>SEO</c:v>
                </c:pt>
                <c:pt idx="6">
                  <c:v>YouTube</c:v>
                </c:pt>
                <c:pt idx="7">
                  <c:v>TikTok</c:v>
                </c:pt>
              </c:strCache>
            </c:strRef>
          </c:cat>
          <c:val>
            <c:numRef>
              <c:f>MktData!$H$2:$H$9</c:f>
              <c:numCache>
                <c:formatCode>General</c:formatCode>
                <c:ptCount val="8"/>
                <c:pt idx="0">
                  <c:v>1.88</c:v>
                </c:pt>
                <c:pt idx="1">
                  <c:v>1.8764044943820199</c:v>
                </c:pt>
                <c:pt idx="2">
                  <c:v>2.1111111111111098</c:v>
                </c:pt>
                <c:pt idx="3">
                  <c:v>1.6666666666666701</c:v>
                </c:pt>
                <c:pt idx="4">
                  <c:v>20.375</c:v>
                </c:pt>
                <c:pt idx="5">
                  <c:v>12.0526315789474</c:v>
                </c:pt>
                <c:pt idx="6">
                  <c:v>1.5714285714285701</c:v>
                </c:pt>
                <c:pt idx="7">
                  <c:v>2.9795918367346901</c:v>
                </c:pt>
              </c:numCache>
            </c:numRef>
          </c:val>
        </c:ser>
        <c:axId val="142963456"/>
        <c:axId val="142964992"/>
      </c:barChart>
      <c:catAx>
        <c:axId val="142963456"/>
        <c:scaling>
          <c:orientation val="minMax"/>
        </c:scaling>
        <c:axPos val="l"/>
        <c:numFmt formatCode="General" sourceLinked="0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2964992"/>
        <c:crosses val="autoZero"/>
        <c:auto val="1"/>
        <c:lblAlgn val="ctr"/>
        <c:lblOffset val="100"/>
      </c:catAx>
      <c:valAx>
        <c:axId val="142964992"/>
        <c:scaling>
          <c:orientation val="minMax"/>
        </c:scaling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29634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Spend vs Revenue by Channel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MktData!$E$1</c:f>
              <c:strCache>
                <c:ptCount val="1"/>
                <c:pt idx="0">
                  <c:v>Spend</c:v>
                </c:pt>
              </c:strCache>
            </c:strRef>
          </c:tx>
          <c:spPr>
            <a:solidFill>
              <a:srgbClr val="FF4444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MktData!$A$2:$A$9</c:f>
              <c:strCache>
                <c:ptCount val="8"/>
                <c:pt idx="0">
                  <c:v>Google Ads</c:v>
                </c:pt>
                <c:pt idx="1">
                  <c:v>Facebook</c:v>
                </c:pt>
                <c:pt idx="2">
                  <c:v>Instagram</c:v>
                </c:pt>
                <c:pt idx="3">
                  <c:v>LinkedIn</c:v>
                </c:pt>
                <c:pt idx="4">
                  <c:v>Email</c:v>
                </c:pt>
                <c:pt idx="5">
                  <c:v>SEO</c:v>
                </c:pt>
                <c:pt idx="6">
                  <c:v>YouTube</c:v>
                </c:pt>
                <c:pt idx="7">
                  <c:v>TikTok</c:v>
                </c:pt>
              </c:strCache>
            </c:strRef>
          </c:cat>
          <c:val>
            <c:numRef>
              <c:f>MktData!$E$2:$E$9</c:f>
              <c:numCache>
                <c:formatCode>General</c:formatCode>
                <c:ptCount val="8"/>
                <c:pt idx="0">
                  <c:v>12500</c:v>
                </c:pt>
                <c:pt idx="1">
                  <c:v>8900</c:v>
                </c:pt>
                <c:pt idx="2">
                  <c:v>7200</c:v>
                </c:pt>
                <c:pt idx="3">
                  <c:v>4500</c:v>
                </c:pt>
                <c:pt idx="4">
                  <c:v>1200</c:v>
                </c:pt>
                <c:pt idx="5">
                  <c:v>3800</c:v>
                </c:pt>
                <c:pt idx="6">
                  <c:v>5600</c:v>
                </c:pt>
                <c:pt idx="7">
                  <c:v>9800</c:v>
                </c:pt>
              </c:numCache>
            </c:numRef>
          </c:val>
        </c:ser>
        <c:ser>
          <c:idx val="1"/>
          <c:order val="1"/>
          <c:tx>
            <c:strRef>
              <c:f>MktData!$F$1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0E676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MktData!$A$2:$A$9</c:f>
              <c:strCache>
                <c:ptCount val="8"/>
                <c:pt idx="0">
                  <c:v>Google Ads</c:v>
                </c:pt>
                <c:pt idx="1">
                  <c:v>Facebook</c:v>
                </c:pt>
                <c:pt idx="2">
                  <c:v>Instagram</c:v>
                </c:pt>
                <c:pt idx="3">
                  <c:v>LinkedIn</c:v>
                </c:pt>
                <c:pt idx="4">
                  <c:v>Email</c:v>
                </c:pt>
                <c:pt idx="5">
                  <c:v>SEO</c:v>
                </c:pt>
                <c:pt idx="6">
                  <c:v>YouTube</c:v>
                </c:pt>
                <c:pt idx="7">
                  <c:v>TikTok</c:v>
                </c:pt>
              </c:strCache>
            </c:strRef>
          </c:cat>
          <c:val>
            <c:numRef>
              <c:f>MktData!$F$2:$F$9</c:f>
              <c:numCache>
                <c:formatCode>General</c:formatCode>
                <c:ptCount val="8"/>
                <c:pt idx="0">
                  <c:v>36000</c:v>
                </c:pt>
                <c:pt idx="1">
                  <c:v>25600</c:v>
                </c:pt>
                <c:pt idx="2">
                  <c:v>22400</c:v>
                </c:pt>
                <c:pt idx="3">
                  <c:v>12000</c:v>
                </c:pt>
                <c:pt idx="4">
                  <c:v>25650</c:v>
                </c:pt>
                <c:pt idx="5">
                  <c:v>49600</c:v>
                </c:pt>
                <c:pt idx="6">
                  <c:v>14400</c:v>
                </c:pt>
                <c:pt idx="7">
                  <c:v>39000</c:v>
                </c:pt>
              </c:numCache>
            </c:numRef>
          </c:val>
        </c:ser>
        <c:axId val="142819328"/>
        <c:axId val="142820864"/>
      </c:barChart>
      <c:catAx>
        <c:axId val="142819328"/>
        <c:scaling>
          <c:orientation val="minMax"/>
        </c:scaling>
        <c:axPos val="b"/>
        <c:numFmt formatCode="General" sourceLinked="0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2820864"/>
        <c:crosses val="autoZero"/>
        <c:auto val="1"/>
        <c:lblAlgn val="ctr"/>
        <c:lblOffset val="100"/>
      </c:catAx>
      <c:valAx>
        <c:axId val="142820864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28193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Expense Breakdown</a:t>
            </a:r>
          </a:p>
        </c:rich>
      </c:tx>
      <c:layout/>
      <c:spPr>
        <a:noFill/>
        <a:ln w="0">
          <a:noFill/>
        </a:ln>
      </c:spPr>
    </c:title>
    <c:plotArea>
      <c:layout/>
      <c:pieChart>
        <c:varyColors val="1"/>
        <c:ser>
          <c:idx val="0"/>
          <c:order val="0"/>
          <c:tx>
            <c:strRef>
              <c:f>BizData!$B$1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cat>
            <c:strRef>
              <c:f>BizData!$A$2:$A$6</c:f>
              <c:strCache>
                <c:ptCount val="5"/>
                <c:pt idx="0">
                  <c:v>COGS</c:v>
                </c:pt>
                <c:pt idx="1">
                  <c:v>Operations</c:v>
                </c:pt>
                <c:pt idx="2">
                  <c:v>Marketing</c:v>
                </c:pt>
                <c:pt idx="3">
                  <c:v>R&amp;D</c:v>
                </c:pt>
                <c:pt idx="4">
                  <c:v>Tax</c:v>
                </c:pt>
              </c:strCache>
            </c:strRef>
          </c:cat>
          <c:val>
            <c:numRef>
              <c:f>BizData!$B$2:$B$6</c:f>
              <c:numCache>
                <c:formatCode>General</c:formatCode>
                <c:ptCount val="5"/>
                <c:pt idx="0">
                  <c:v>1250000</c:v>
                </c:pt>
                <c:pt idx="1">
                  <c:v>650000</c:v>
                </c:pt>
                <c:pt idx="2">
                  <c:v>120000</c:v>
                </c:pt>
                <c:pt idx="3">
                  <c:v>85000</c:v>
                </c:pt>
                <c:pt idx="4">
                  <c:v>180000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9</xdr:col>
      <xdr:colOff>729720</xdr:colOff>
      <xdr:row>41</xdr:row>
      <xdr:rowOff>128160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0</xdr:rowOff>
    </xdr:from>
    <xdr:to>
      <xdr:col>17</xdr:col>
      <xdr:colOff>518400</xdr:colOff>
      <xdr:row>41</xdr:row>
      <xdr:rowOff>128160</xdr:rowOff>
    </xdr:to>
    <xdr:graphicFrame macro="">
      <xdr:nvGraphicFramePr>
        <xdr:cNvPr id="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19</xdr:row>
      <xdr:rowOff>0</xdr:rowOff>
    </xdr:from>
    <xdr:to>
      <xdr:col>20</xdr:col>
      <xdr:colOff>596880</xdr:colOff>
      <xdr:row>41</xdr:row>
      <xdr:rowOff>128160</xdr:rowOff>
    </xdr:to>
    <xdr:graphicFrame macro=""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7</xdr:col>
      <xdr:colOff>558720</xdr:colOff>
      <xdr:row>43</xdr:row>
      <xdr:rowOff>40680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0</xdr:rowOff>
    </xdr:from>
    <xdr:to>
      <xdr:col>18</xdr:col>
      <xdr:colOff>442080</xdr:colOff>
      <xdr:row>43</xdr:row>
      <xdr:rowOff>40680</xdr:rowOff>
    </xdr:to>
    <xdr:graphicFrame macro="">
      <xdr:nvGraphicFramePr>
        <xdr:cNvPr id="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10</xdr:col>
      <xdr:colOff>255960</xdr:colOff>
      <xdr:row>47</xdr:row>
      <xdr:rowOff>48240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D700"/>
  </sheetPr>
  <dimension ref="A1:AH79"/>
  <sheetViews>
    <sheetView showGridLines="0" topLeftCell="A12" workbookViewId="0"/>
  </sheetViews>
  <sheetFormatPr defaultColWidth="8.6640625" defaultRowHeight="14.4"/>
  <cols>
    <col min="1" max="1" width="1" style="15" customWidth="1"/>
    <col min="2" max="2" width="12" style="15" customWidth="1"/>
    <col min="3" max="4" width="14" style="15" customWidth="1"/>
    <col min="5" max="5" width="12" style="15" customWidth="1"/>
    <col min="6" max="6" width="14" style="15" customWidth="1"/>
    <col min="7" max="7" width="10" style="15" customWidth="1"/>
    <col min="8" max="8" width="12" style="15" customWidth="1"/>
    <col min="9" max="11" width="14" style="15" customWidth="1"/>
    <col min="12" max="12" width="2" style="15" customWidth="1"/>
    <col min="13" max="16" width="12" style="15" customWidth="1"/>
    <col min="17" max="17" width="1" style="15" customWidth="1"/>
  </cols>
  <sheetData>
    <row r="1" spans="1:34" ht="7.5" customHeight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ht="15" customHeight="1">
      <c r="A2" s="16"/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3" t="s">
        <v>1</v>
      </c>
      <c r="L2" s="13"/>
      <c r="M2" s="13"/>
      <c r="N2" s="13"/>
      <c r="O2" s="13"/>
      <c r="P2" s="13"/>
      <c r="Q2" s="16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ht="18" customHeight="1">
      <c r="A3" s="16"/>
      <c r="B3" s="14"/>
      <c r="C3" s="14"/>
      <c r="D3" s="14"/>
      <c r="E3" s="14"/>
      <c r="F3" s="14"/>
      <c r="G3" s="14"/>
      <c r="H3" s="14"/>
      <c r="I3" s="14"/>
      <c r="J3" s="14"/>
      <c r="K3" s="13"/>
      <c r="L3" s="13"/>
      <c r="M3" s="13"/>
      <c r="N3" s="13"/>
      <c r="O3" s="13"/>
      <c r="P3" s="13"/>
      <c r="Q3" s="16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 spans="1:34" ht="7.5" customHeight="1">
      <c r="A4" s="16"/>
      <c r="B4" s="14"/>
      <c r="C4" s="14"/>
      <c r="D4" s="14"/>
      <c r="E4" s="14"/>
      <c r="F4" s="14"/>
      <c r="G4" s="14"/>
      <c r="H4" s="14"/>
      <c r="I4" s="14"/>
      <c r="J4" s="14"/>
      <c r="K4" s="13"/>
      <c r="L4" s="13"/>
      <c r="M4" s="13"/>
      <c r="N4" s="13"/>
      <c r="O4" s="13"/>
      <c r="P4" s="13"/>
      <c r="Q4" s="16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</row>
    <row r="5" spans="1:34" ht="15.75" customHeight="1">
      <c r="A5" s="17"/>
      <c r="B5" s="12" t="s">
        <v>2</v>
      </c>
      <c r="C5" s="12"/>
      <c r="D5" s="12"/>
      <c r="E5" s="12"/>
      <c r="F5" s="17"/>
      <c r="G5" s="11" t="s">
        <v>3</v>
      </c>
      <c r="H5" s="11"/>
      <c r="I5" s="11"/>
      <c r="J5" s="11"/>
      <c r="K5" s="17"/>
      <c r="L5" s="10" t="s">
        <v>4</v>
      </c>
      <c r="M5" s="10"/>
      <c r="N5" s="10"/>
      <c r="O5" s="10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</row>
    <row r="6" spans="1:34" ht="15.75" customHeight="1">
      <c r="A6" s="17"/>
      <c r="B6" s="9" t="s">
        <v>5</v>
      </c>
      <c r="C6" s="9"/>
      <c r="D6" s="9"/>
      <c r="E6" s="9"/>
      <c r="F6" s="17"/>
      <c r="G6" s="9" t="s">
        <v>6</v>
      </c>
      <c r="H6" s="9"/>
      <c r="I6" s="9"/>
      <c r="J6" s="9"/>
      <c r="K6" s="17"/>
      <c r="L6" s="9" t="s">
        <v>7</v>
      </c>
      <c r="M6" s="9"/>
      <c r="N6" s="9"/>
      <c r="O6" s="9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spans="1:34" ht="15.75" customHeight="1">
      <c r="A7" s="17"/>
      <c r="B7" s="9"/>
      <c r="C7" s="9"/>
      <c r="D7" s="9"/>
      <c r="E7" s="9"/>
      <c r="F7" s="17"/>
      <c r="G7" s="9"/>
      <c r="H7" s="9"/>
      <c r="I7" s="9"/>
      <c r="J7" s="9"/>
      <c r="K7" s="17"/>
      <c r="L7" s="9"/>
      <c r="M7" s="9"/>
      <c r="N7" s="9"/>
      <c r="O7" s="9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</row>
    <row r="8" spans="1:34" ht="15.75" customHeight="1">
      <c r="A8" s="17"/>
      <c r="B8" s="9"/>
      <c r="C8" s="9"/>
      <c r="D8" s="9"/>
      <c r="E8" s="9"/>
      <c r="F8" s="17"/>
      <c r="G8" s="9"/>
      <c r="H8" s="9"/>
      <c r="I8" s="9"/>
      <c r="J8" s="9"/>
      <c r="K8" s="17"/>
      <c r="L8" s="9"/>
      <c r="M8" s="9"/>
      <c r="N8" s="9"/>
      <c r="O8" s="9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5.75" customHeight="1">
      <c r="A9" s="17"/>
      <c r="B9" s="11" t="s">
        <v>8</v>
      </c>
      <c r="C9" s="11"/>
      <c r="D9" s="11"/>
      <c r="E9" s="11"/>
      <c r="F9" s="17"/>
      <c r="G9" s="11" t="s">
        <v>9</v>
      </c>
      <c r="H9" s="11"/>
      <c r="I9" s="11"/>
      <c r="J9" s="11"/>
      <c r="K9" s="17"/>
      <c r="L9" s="11" t="s">
        <v>10</v>
      </c>
      <c r="M9" s="11"/>
      <c r="N9" s="11"/>
      <c r="O9" s="11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5.75" customHeight="1">
      <c r="A10" s="17"/>
      <c r="B10" s="18"/>
      <c r="C10" s="18"/>
      <c r="D10" s="18"/>
      <c r="E10" s="18"/>
      <c r="F10" s="17"/>
      <c r="G10" s="18"/>
      <c r="H10" s="18"/>
      <c r="I10" s="18"/>
      <c r="J10" s="18"/>
      <c r="K10" s="17"/>
      <c r="L10" s="18"/>
      <c r="M10" s="18"/>
      <c r="N10" s="18"/>
      <c r="O10" s="18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5.75" customHeight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5.75" customHeight="1">
      <c r="A12" s="17"/>
      <c r="B12" s="8" t="s">
        <v>11</v>
      </c>
      <c r="C12" s="8"/>
      <c r="D12" s="8"/>
      <c r="E12" s="8"/>
      <c r="F12" s="17"/>
      <c r="G12" s="12" t="s">
        <v>12</v>
      </c>
      <c r="H12" s="12"/>
      <c r="I12" s="12"/>
      <c r="J12" s="12"/>
      <c r="K12" s="17"/>
      <c r="L12" s="10" t="s">
        <v>13</v>
      </c>
      <c r="M12" s="10"/>
      <c r="N12" s="10"/>
      <c r="O12" s="10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3" spans="1:34" ht="15.75" customHeight="1">
      <c r="A13" s="17"/>
      <c r="B13" s="9" t="s">
        <v>14</v>
      </c>
      <c r="C13" s="9"/>
      <c r="D13" s="9"/>
      <c r="E13" s="9"/>
      <c r="F13" s="17"/>
      <c r="G13" s="9" t="s">
        <v>15</v>
      </c>
      <c r="H13" s="9"/>
      <c r="I13" s="9"/>
      <c r="J13" s="9"/>
      <c r="K13" s="17"/>
      <c r="L13" s="9" t="s">
        <v>16</v>
      </c>
      <c r="M13" s="9"/>
      <c r="N13" s="9"/>
      <c r="O13" s="9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</row>
    <row r="14" spans="1:34" ht="15.75" customHeight="1">
      <c r="A14" s="17"/>
      <c r="B14" s="9"/>
      <c r="C14" s="9"/>
      <c r="D14" s="9"/>
      <c r="E14" s="9"/>
      <c r="F14" s="17"/>
      <c r="G14" s="9"/>
      <c r="H14" s="9"/>
      <c r="I14" s="9"/>
      <c r="J14" s="9"/>
      <c r="K14" s="17"/>
      <c r="L14" s="9"/>
      <c r="M14" s="9"/>
      <c r="N14" s="9"/>
      <c r="O14" s="9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</row>
    <row r="15" spans="1:34" ht="15.75" customHeight="1">
      <c r="A15" s="17"/>
      <c r="B15" s="9"/>
      <c r="C15" s="9"/>
      <c r="D15" s="9"/>
      <c r="E15" s="9"/>
      <c r="F15" s="17"/>
      <c r="G15" s="9"/>
      <c r="H15" s="9"/>
      <c r="I15" s="9"/>
      <c r="J15" s="9"/>
      <c r="K15" s="17"/>
      <c r="L15" s="9"/>
      <c r="M15" s="9"/>
      <c r="N15" s="9"/>
      <c r="O15" s="9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</row>
    <row r="16" spans="1:34" ht="15.75" customHeight="1">
      <c r="A16" s="17"/>
      <c r="B16" s="11" t="s">
        <v>17</v>
      </c>
      <c r="C16" s="11"/>
      <c r="D16" s="11"/>
      <c r="E16" s="11"/>
      <c r="F16" s="17"/>
      <c r="G16" s="11" t="s">
        <v>18</v>
      </c>
      <c r="H16" s="11"/>
      <c r="I16" s="11"/>
      <c r="J16" s="11"/>
      <c r="K16" s="17"/>
      <c r="L16" s="7" t="s">
        <v>19</v>
      </c>
      <c r="M16" s="7"/>
      <c r="N16" s="7"/>
      <c r="O16" s="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 spans="1:34" ht="15.75" customHeight="1">
      <c r="A17" s="17"/>
      <c r="B17" s="18"/>
      <c r="C17" s="18"/>
      <c r="D17" s="18"/>
      <c r="E17" s="18"/>
      <c r="F17" s="17"/>
      <c r="G17" s="18"/>
      <c r="H17" s="18"/>
      <c r="I17" s="18"/>
      <c r="J17" s="18"/>
      <c r="K17" s="17"/>
      <c r="L17" s="18"/>
      <c r="M17" s="18"/>
      <c r="N17" s="18"/>
      <c r="O17" s="18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</row>
    <row r="18" spans="1:34" ht="15.7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</row>
    <row r="19" spans="1:34" ht="1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</row>
    <row r="20" spans="1:34" ht="1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</row>
    <row r="21" spans="1:34" ht="1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</row>
    <row r="22" spans="1:34" ht="1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</row>
    <row r="23" spans="1:34" ht="1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</row>
    <row r="24" spans="1:34" ht="1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</row>
    <row r="25" spans="1:34" ht="1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</row>
    <row r="26" spans="1:34" ht="1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</row>
    <row r="27" spans="1:34" ht="1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</row>
    <row r="28" spans="1:34" ht="1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</row>
    <row r="29" spans="1:34" ht="1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</row>
    <row r="30" spans="1:34" ht="1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</row>
    <row r="31" spans="1:34" ht="1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</row>
    <row r="32" spans="1:34" ht="1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</row>
    <row r="33" spans="1:34" ht="1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</row>
    <row r="34" spans="1:34" ht="1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</row>
    <row r="35" spans="1:34" ht="1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</row>
    <row r="36" spans="1:34" ht="1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</row>
    <row r="37" spans="1:34" ht="1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</row>
    <row r="38" spans="1:34" ht="1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</row>
    <row r="39" spans="1:34" ht="1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</row>
    <row r="40" spans="1:34" ht="1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</row>
    <row r="41" spans="1:34" ht="1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</row>
    <row r="42" spans="1:34" ht="1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</row>
    <row r="43" spans="1:34" ht="1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</row>
    <row r="44" spans="1:34" ht="1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</row>
    <row r="45" spans="1:34" ht="1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</row>
    <row r="46" spans="1:34" ht="1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</row>
    <row r="47" spans="1:34" ht="1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</row>
    <row r="48" spans="1:34" ht="7.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</row>
    <row r="49" spans="1:34" ht="21.75" customHeight="1">
      <c r="A49" s="17"/>
      <c r="B49" s="19" t="s">
        <v>20</v>
      </c>
      <c r="C49" s="19" t="s">
        <v>21</v>
      </c>
      <c r="D49" s="19" t="s">
        <v>22</v>
      </c>
      <c r="E49" s="19" t="s">
        <v>23</v>
      </c>
      <c r="F49" s="19" t="s">
        <v>24</v>
      </c>
      <c r="G49" s="19" t="s">
        <v>25</v>
      </c>
      <c r="H49" s="19" t="s">
        <v>26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</row>
    <row r="50" spans="1:34" ht="18" customHeight="1">
      <c r="A50" s="17"/>
      <c r="B50" s="20" t="s">
        <v>27</v>
      </c>
      <c r="C50" s="20">
        <v>185000</v>
      </c>
      <c r="D50" s="20">
        <v>920</v>
      </c>
      <c r="E50" s="20">
        <v>41000</v>
      </c>
      <c r="F50" s="20">
        <v>52</v>
      </c>
      <c r="G50" s="21">
        <v>0.3</v>
      </c>
      <c r="H50" s="20">
        <v>1250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</row>
    <row r="51" spans="1:34" ht="18" customHeight="1">
      <c r="A51" s="17"/>
      <c r="B51" s="22" t="s">
        <v>28</v>
      </c>
      <c r="C51" s="22">
        <v>195000</v>
      </c>
      <c r="D51" s="22">
        <v>980</v>
      </c>
      <c r="E51" s="22">
        <v>43500</v>
      </c>
      <c r="F51" s="22">
        <v>58</v>
      </c>
      <c r="G51" s="23">
        <v>0.31</v>
      </c>
      <c r="H51" s="22">
        <v>1230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</row>
    <row r="52" spans="1:34" ht="18" customHeight="1">
      <c r="A52" s="17"/>
      <c r="B52" s="20" t="s">
        <v>29</v>
      </c>
      <c r="C52" s="20">
        <v>210000</v>
      </c>
      <c r="D52" s="20">
        <v>1050</v>
      </c>
      <c r="E52" s="20">
        <v>47000</v>
      </c>
      <c r="F52" s="20">
        <v>65</v>
      </c>
      <c r="G52" s="21">
        <v>0.33</v>
      </c>
      <c r="H52" s="20">
        <v>1220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</row>
    <row r="53" spans="1:34" ht="18" customHeight="1">
      <c r="A53" s="17"/>
      <c r="B53" s="22" t="s">
        <v>30</v>
      </c>
      <c r="C53" s="22">
        <v>225000</v>
      </c>
      <c r="D53" s="22">
        <v>1120</v>
      </c>
      <c r="E53" s="22">
        <v>50000</v>
      </c>
      <c r="F53" s="22">
        <v>72</v>
      </c>
      <c r="G53" s="23">
        <v>0.34</v>
      </c>
      <c r="H53" s="22">
        <v>1240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</row>
    <row r="54" spans="1:34" ht="18" customHeight="1">
      <c r="A54" s="17"/>
      <c r="B54" s="20" t="s">
        <v>31</v>
      </c>
      <c r="C54" s="20">
        <v>240000</v>
      </c>
      <c r="D54" s="20">
        <v>1180</v>
      </c>
      <c r="E54" s="20">
        <v>53000</v>
      </c>
      <c r="F54" s="20">
        <v>78</v>
      </c>
      <c r="G54" s="21">
        <v>0.35</v>
      </c>
      <c r="H54" s="20">
        <v>1260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</row>
    <row r="55" spans="1:34" ht="18" customHeight="1">
      <c r="A55" s="17"/>
      <c r="B55" s="22" t="s">
        <v>32</v>
      </c>
      <c r="C55" s="22">
        <v>255000</v>
      </c>
      <c r="D55" s="22">
        <v>1250</v>
      </c>
      <c r="E55" s="22">
        <v>56000</v>
      </c>
      <c r="F55" s="22">
        <v>85</v>
      </c>
      <c r="G55" s="23">
        <v>0.36</v>
      </c>
      <c r="H55" s="22">
        <v>1270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</row>
    <row r="56" spans="1:34" ht="18" customHeight="1">
      <c r="A56" s="17"/>
      <c r="B56" s="20" t="s">
        <v>33</v>
      </c>
      <c r="C56" s="20">
        <v>270000</v>
      </c>
      <c r="D56" s="20">
        <v>1310</v>
      </c>
      <c r="E56" s="20">
        <v>60000</v>
      </c>
      <c r="F56" s="20">
        <v>90</v>
      </c>
      <c r="G56" s="21">
        <v>0.37</v>
      </c>
      <c r="H56" s="20">
        <v>1280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</row>
    <row r="57" spans="1:34" ht="18" customHeight="1">
      <c r="A57" s="17"/>
      <c r="B57" s="22" t="s">
        <v>34</v>
      </c>
      <c r="C57" s="22">
        <v>265000</v>
      </c>
      <c r="D57" s="22">
        <v>1290</v>
      </c>
      <c r="E57" s="22">
        <v>58000</v>
      </c>
      <c r="F57" s="22">
        <v>87</v>
      </c>
      <c r="G57" s="23">
        <v>0.36</v>
      </c>
      <c r="H57" s="22">
        <v>1250</v>
      </c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</row>
    <row r="58" spans="1:34" ht="18" customHeight="1">
      <c r="A58" s="17"/>
      <c r="B58" s="20" t="s">
        <v>35</v>
      </c>
      <c r="C58" s="20">
        <v>280000</v>
      </c>
      <c r="D58" s="20">
        <v>1380</v>
      </c>
      <c r="E58" s="20">
        <v>62500</v>
      </c>
      <c r="F58" s="20">
        <v>95</v>
      </c>
      <c r="G58" s="21">
        <v>0.38</v>
      </c>
      <c r="H58" s="20">
        <v>1290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</row>
    <row r="59" spans="1:34" ht="18" customHeight="1">
      <c r="A59" s="17"/>
      <c r="B59" s="22" t="s">
        <v>36</v>
      </c>
      <c r="C59" s="22">
        <v>290000</v>
      </c>
      <c r="D59" s="22">
        <v>1440</v>
      </c>
      <c r="E59" s="22">
        <v>65000</v>
      </c>
      <c r="F59" s="22">
        <v>98</v>
      </c>
      <c r="G59" s="23">
        <v>0.38</v>
      </c>
      <c r="H59" s="22">
        <v>1300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</row>
    <row r="60" spans="1:34" ht="18" customHeight="1">
      <c r="A60" s="17"/>
      <c r="B60" s="20" t="s">
        <v>37</v>
      </c>
      <c r="C60" s="20">
        <v>295000</v>
      </c>
      <c r="D60" s="20">
        <v>1470</v>
      </c>
      <c r="E60" s="20">
        <v>66000</v>
      </c>
      <c r="F60" s="20">
        <v>101</v>
      </c>
      <c r="G60" s="21">
        <v>0.39</v>
      </c>
      <c r="H60" s="20">
        <v>1310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</row>
    <row r="61" spans="1:34" ht="18" customHeight="1">
      <c r="A61" s="17"/>
      <c r="B61" s="22" t="s">
        <v>38</v>
      </c>
      <c r="C61" s="22">
        <v>337500</v>
      </c>
      <c r="D61" s="22">
        <v>1840</v>
      </c>
      <c r="E61" s="22">
        <v>88200</v>
      </c>
      <c r="F61" s="22">
        <v>122</v>
      </c>
      <c r="G61" s="23">
        <v>0.41</v>
      </c>
      <c r="H61" s="22">
        <v>1350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</row>
    <row r="62" spans="1:34" ht="21.75" customHeight="1">
      <c r="A62" s="17"/>
      <c r="B62" s="24" t="s">
        <v>39</v>
      </c>
      <c r="C62" s="24">
        <f>SUM(C50:C61)</f>
        <v>3047500</v>
      </c>
      <c r="D62" s="24">
        <f>SUM(D50:D61)</f>
        <v>15230</v>
      </c>
      <c r="E62" s="24">
        <f>SUM(E50:E61)</f>
        <v>690200</v>
      </c>
      <c r="F62" s="24">
        <f>SUM(F50:F61)</f>
        <v>1003</v>
      </c>
      <c r="G62" s="25">
        <f>AVERAGE(G50:G61)</f>
        <v>0.35666666666666663</v>
      </c>
      <c r="H62" s="24">
        <f>AVERAGE(H50:H61)</f>
        <v>1270.8333333333333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</row>
    <row r="63" spans="1:34" ht="1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</row>
    <row r="64" spans="1:34" ht="1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</row>
    <row r="65" spans="1:34" ht="1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</row>
    <row r="66" spans="1:34" ht="1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</row>
    <row r="67" spans="1:34" ht="1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</row>
    <row r="68" spans="1:34" ht="1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</row>
    <row r="69" spans="1:34" ht="1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</row>
    <row r="70" spans="1:34" ht="1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</row>
    <row r="71" spans="1:34" ht="1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</row>
    <row r="72" spans="1:34" ht="1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</row>
    <row r="73" spans="1:34" ht="1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</row>
    <row r="74" spans="1:34" ht="1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</row>
    <row r="75" spans="1:34" ht="1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</row>
    <row r="76" spans="1:34" ht="1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</row>
    <row r="77" spans="1:34" ht="1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</row>
    <row r="78" spans="1:34" ht="1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</row>
    <row r="79" spans="1:34" ht="1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</row>
  </sheetData>
  <mergeCells count="20">
    <mergeCell ref="B16:E16"/>
    <mergeCell ref="G16:J16"/>
    <mergeCell ref="L16:O16"/>
    <mergeCell ref="B12:E12"/>
    <mergeCell ref="G12:J12"/>
    <mergeCell ref="L12:O12"/>
    <mergeCell ref="B13:E15"/>
    <mergeCell ref="G13:J15"/>
    <mergeCell ref="L13:O15"/>
    <mergeCell ref="B6:E8"/>
    <mergeCell ref="G6:J8"/>
    <mergeCell ref="L6:O8"/>
    <mergeCell ref="B9:E9"/>
    <mergeCell ref="G9:J9"/>
    <mergeCell ref="L9:O9"/>
    <mergeCell ref="B2:J4"/>
    <mergeCell ref="K2:P4"/>
    <mergeCell ref="B5:E5"/>
    <mergeCell ref="G5:J5"/>
    <mergeCell ref="L5:O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ColWidth="8.6640625" defaultRowHeight="14.4"/>
  <sheetData>
    <row r="1" spans="1:10" ht="15" customHeight="1">
      <c r="A1" s="15" t="s">
        <v>40</v>
      </c>
      <c r="B1" s="15" t="s">
        <v>41</v>
      </c>
      <c r="C1" s="15" t="s">
        <v>42</v>
      </c>
      <c r="D1" s="15" t="s">
        <v>43</v>
      </c>
      <c r="E1" s="15" t="s">
        <v>44</v>
      </c>
      <c r="F1" s="15" t="s">
        <v>45</v>
      </c>
      <c r="G1" s="15" t="s">
        <v>46</v>
      </c>
      <c r="I1" s="15" t="s">
        <v>47</v>
      </c>
      <c r="J1" s="15" t="s">
        <v>41</v>
      </c>
    </row>
    <row r="2" spans="1:10" ht="15" customHeight="1">
      <c r="A2" s="15" t="s">
        <v>27</v>
      </c>
      <c r="B2" s="15">
        <v>185000</v>
      </c>
      <c r="C2" s="15">
        <v>920</v>
      </c>
      <c r="D2" s="15">
        <v>41000</v>
      </c>
      <c r="E2" s="15">
        <v>52</v>
      </c>
      <c r="F2" s="15">
        <v>0.3</v>
      </c>
      <c r="G2" s="15">
        <v>1250</v>
      </c>
      <c r="I2" s="15" t="s">
        <v>48</v>
      </c>
      <c r="J2" s="15">
        <v>590000</v>
      </c>
    </row>
    <row r="3" spans="1:10" ht="15" customHeight="1">
      <c r="A3" s="15" t="s">
        <v>28</v>
      </c>
      <c r="B3" s="15">
        <v>195000</v>
      </c>
      <c r="C3" s="15">
        <v>980</v>
      </c>
      <c r="D3" s="15">
        <v>43500</v>
      </c>
      <c r="E3" s="15">
        <v>58</v>
      </c>
      <c r="F3" s="15">
        <v>0.31</v>
      </c>
      <c r="G3" s="15">
        <v>1230</v>
      </c>
      <c r="I3" s="15" t="s">
        <v>49</v>
      </c>
      <c r="J3" s="15">
        <v>720000</v>
      </c>
    </row>
    <row r="4" spans="1:10" ht="15" customHeight="1">
      <c r="A4" s="15" t="s">
        <v>29</v>
      </c>
      <c r="B4" s="15">
        <v>210000</v>
      </c>
      <c r="C4" s="15">
        <v>1050</v>
      </c>
      <c r="D4" s="15">
        <v>47000</v>
      </c>
      <c r="E4" s="15">
        <v>65</v>
      </c>
      <c r="F4" s="15">
        <v>0.33</v>
      </c>
      <c r="G4" s="15">
        <v>1220</v>
      </c>
      <c r="I4" s="15" t="s">
        <v>50</v>
      </c>
      <c r="J4" s="15">
        <v>815000</v>
      </c>
    </row>
    <row r="5" spans="1:10" ht="15" customHeight="1">
      <c r="A5" s="15" t="s">
        <v>30</v>
      </c>
      <c r="B5" s="15">
        <v>225000</v>
      </c>
      <c r="C5" s="15">
        <v>1120</v>
      </c>
      <c r="D5" s="15">
        <v>50000</v>
      </c>
      <c r="E5" s="15">
        <v>72</v>
      </c>
      <c r="F5" s="15">
        <v>0.34</v>
      </c>
      <c r="G5" s="15">
        <v>1240</v>
      </c>
      <c r="I5" s="15" t="s">
        <v>51</v>
      </c>
      <c r="J5" s="15">
        <v>922500</v>
      </c>
    </row>
    <row r="6" spans="1:10" ht="15" customHeight="1">
      <c r="A6" s="15" t="s">
        <v>31</v>
      </c>
      <c r="B6" s="15">
        <v>240000</v>
      </c>
      <c r="C6" s="15">
        <v>1180</v>
      </c>
      <c r="D6" s="15">
        <v>53000</v>
      </c>
      <c r="E6" s="15">
        <v>78</v>
      </c>
      <c r="F6" s="15">
        <v>0.35</v>
      </c>
      <c r="G6" s="15">
        <v>1260</v>
      </c>
    </row>
    <row r="7" spans="1:10" ht="15" customHeight="1">
      <c r="A7" s="15" t="s">
        <v>32</v>
      </c>
      <c r="B7" s="15">
        <v>255000</v>
      </c>
      <c r="C7" s="15">
        <v>1250</v>
      </c>
      <c r="D7" s="15">
        <v>56000</v>
      </c>
      <c r="E7" s="15">
        <v>85</v>
      </c>
      <c r="F7" s="15">
        <v>0.36</v>
      </c>
      <c r="G7" s="15">
        <v>1270</v>
      </c>
    </row>
    <row r="8" spans="1:10" ht="15" customHeight="1">
      <c r="A8" s="15" t="s">
        <v>33</v>
      </c>
      <c r="B8" s="15">
        <v>270000</v>
      </c>
      <c r="C8" s="15">
        <v>1310</v>
      </c>
      <c r="D8" s="15">
        <v>60000</v>
      </c>
      <c r="E8" s="15">
        <v>90</v>
      </c>
      <c r="F8" s="15">
        <v>0.37</v>
      </c>
      <c r="G8" s="15">
        <v>1280</v>
      </c>
    </row>
    <row r="9" spans="1:10" ht="15" customHeight="1">
      <c r="A9" s="15" t="s">
        <v>34</v>
      </c>
      <c r="B9" s="15">
        <v>265000</v>
      </c>
      <c r="C9" s="15">
        <v>1290</v>
      </c>
      <c r="D9" s="15">
        <v>58000</v>
      </c>
      <c r="E9" s="15">
        <v>87</v>
      </c>
      <c r="F9" s="15">
        <v>0.36</v>
      </c>
      <c r="G9" s="15">
        <v>1250</v>
      </c>
    </row>
    <row r="10" spans="1:10" ht="15" customHeight="1">
      <c r="A10" s="15" t="s">
        <v>35</v>
      </c>
      <c r="B10" s="15">
        <v>280000</v>
      </c>
      <c r="C10" s="15">
        <v>1380</v>
      </c>
      <c r="D10" s="15">
        <v>62500</v>
      </c>
      <c r="E10" s="15">
        <v>95</v>
      </c>
      <c r="F10" s="15">
        <v>0.38</v>
      </c>
      <c r="G10" s="15">
        <v>1290</v>
      </c>
    </row>
    <row r="11" spans="1:10" ht="15" customHeight="1">
      <c r="A11" s="15" t="s">
        <v>36</v>
      </c>
      <c r="B11" s="15">
        <v>290000</v>
      </c>
      <c r="C11" s="15">
        <v>1440</v>
      </c>
      <c r="D11" s="15">
        <v>65000</v>
      </c>
      <c r="E11" s="15">
        <v>98</v>
      </c>
      <c r="F11" s="15">
        <v>0.38</v>
      </c>
      <c r="G11" s="15">
        <v>1300</v>
      </c>
    </row>
    <row r="12" spans="1:10" ht="15" customHeight="1">
      <c r="A12" s="15" t="s">
        <v>37</v>
      </c>
      <c r="B12" s="15">
        <v>295000</v>
      </c>
      <c r="C12" s="15">
        <v>1470</v>
      </c>
      <c r="D12" s="15">
        <v>66000</v>
      </c>
      <c r="E12" s="15">
        <v>101</v>
      </c>
      <c r="F12" s="15">
        <v>0.39</v>
      </c>
      <c r="G12" s="15">
        <v>1310</v>
      </c>
    </row>
    <row r="13" spans="1:10" ht="15" customHeight="1">
      <c r="A13" s="15" t="s">
        <v>38</v>
      </c>
      <c r="B13" s="15">
        <v>337500</v>
      </c>
      <c r="C13" s="15">
        <v>1840</v>
      </c>
      <c r="D13" s="15">
        <v>88200</v>
      </c>
      <c r="E13" s="15">
        <v>122</v>
      </c>
      <c r="F13" s="15">
        <v>0.41</v>
      </c>
      <c r="G13" s="15">
        <v>1350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D4FF"/>
  </sheetPr>
  <dimension ref="A1:AE79"/>
  <sheetViews>
    <sheetView showGridLines="0" topLeftCell="A22" workbookViewId="0"/>
  </sheetViews>
  <sheetFormatPr defaultColWidth="8.6640625" defaultRowHeight="14.4"/>
  <cols>
    <col min="2" max="9" width="14" style="15" customWidth="1"/>
  </cols>
  <sheetData>
    <row r="1" spans="1:31" ht="7.5" customHeight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 spans="1:31" ht="15" customHeight="1">
      <c r="A2" s="16"/>
      <c r="B2" s="6" t="s">
        <v>52</v>
      </c>
      <c r="C2" s="6"/>
      <c r="D2" s="6"/>
      <c r="E2" s="6"/>
      <c r="F2" s="6"/>
      <c r="G2" s="6"/>
      <c r="H2" s="6"/>
      <c r="I2" s="6"/>
      <c r="J2" s="6"/>
      <c r="K2" s="16"/>
      <c r="L2" s="16"/>
      <c r="M2" s="16"/>
      <c r="N2" s="16"/>
      <c r="O2" s="16"/>
      <c r="P2" s="16"/>
      <c r="Q2" s="16"/>
      <c r="R2" s="16"/>
      <c r="S2" s="16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</row>
    <row r="3" spans="1:31" ht="18" customHeight="1">
      <c r="A3" s="16"/>
      <c r="B3" s="6"/>
      <c r="C3" s="6"/>
      <c r="D3" s="6"/>
      <c r="E3" s="6"/>
      <c r="F3" s="6"/>
      <c r="G3" s="6"/>
      <c r="H3" s="6"/>
      <c r="I3" s="6"/>
      <c r="J3" s="6"/>
      <c r="K3" s="16"/>
      <c r="L3" s="16"/>
      <c r="M3" s="16"/>
      <c r="N3" s="16"/>
      <c r="O3" s="16"/>
      <c r="P3" s="16"/>
      <c r="Q3" s="16"/>
      <c r="R3" s="16"/>
      <c r="S3" s="16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</row>
    <row r="4" spans="1:31" ht="15" customHeight="1">
      <c r="A4" s="16"/>
      <c r="B4" s="6"/>
      <c r="C4" s="6"/>
      <c r="D4" s="6"/>
      <c r="E4" s="6"/>
      <c r="F4" s="6"/>
      <c r="G4" s="6"/>
      <c r="H4" s="6"/>
      <c r="I4" s="6"/>
      <c r="J4" s="6"/>
      <c r="K4" s="16"/>
      <c r="L4" s="16"/>
      <c r="M4" s="16"/>
      <c r="N4" s="16"/>
      <c r="O4" s="16"/>
      <c r="P4" s="16"/>
      <c r="Q4" s="16"/>
      <c r="R4" s="16"/>
      <c r="S4" s="16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 spans="1:31" ht="15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</row>
    <row r="6" spans="1:31" ht="15.75" customHeight="1">
      <c r="A6" s="17"/>
      <c r="B6" s="10" t="s">
        <v>53</v>
      </c>
      <c r="C6" s="10"/>
      <c r="D6" s="10"/>
      <c r="E6" s="10"/>
      <c r="F6" s="17"/>
      <c r="G6" s="12" t="s">
        <v>54</v>
      </c>
      <c r="H6" s="12"/>
      <c r="I6" s="12"/>
      <c r="J6" s="12"/>
      <c r="K6" s="17"/>
      <c r="L6" s="11" t="s">
        <v>55</v>
      </c>
      <c r="M6" s="11"/>
      <c r="N6" s="11"/>
      <c r="O6" s="11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</row>
    <row r="7" spans="1:31" ht="15.75" customHeight="1">
      <c r="A7" s="17"/>
      <c r="B7" s="9" t="s">
        <v>56</v>
      </c>
      <c r="C7" s="9"/>
      <c r="D7" s="9"/>
      <c r="E7" s="9"/>
      <c r="F7" s="17"/>
      <c r="G7" s="9" t="s">
        <v>57</v>
      </c>
      <c r="H7" s="9"/>
      <c r="I7" s="9"/>
      <c r="J7" s="9"/>
      <c r="K7" s="17"/>
      <c r="L7" s="9" t="s">
        <v>58</v>
      </c>
      <c r="M7" s="9"/>
      <c r="N7" s="9"/>
      <c r="O7" s="9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</row>
    <row r="8" spans="1:31" ht="15.75" customHeight="1">
      <c r="A8" s="17"/>
      <c r="B8" s="9"/>
      <c r="C8" s="9"/>
      <c r="D8" s="9"/>
      <c r="E8" s="9"/>
      <c r="F8" s="17"/>
      <c r="G8" s="9"/>
      <c r="H8" s="9"/>
      <c r="I8" s="9"/>
      <c r="J8" s="9"/>
      <c r="K8" s="17"/>
      <c r="L8" s="9"/>
      <c r="M8" s="9"/>
      <c r="N8" s="9"/>
      <c r="O8" s="9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 spans="1:31" ht="15.75" customHeight="1">
      <c r="A9" s="17"/>
      <c r="B9" s="9"/>
      <c r="C9" s="9"/>
      <c r="D9" s="9"/>
      <c r="E9" s="9"/>
      <c r="F9" s="17"/>
      <c r="G9" s="9"/>
      <c r="H9" s="9"/>
      <c r="I9" s="9"/>
      <c r="J9" s="9"/>
      <c r="K9" s="17"/>
      <c r="L9" s="9"/>
      <c r="M9" s="9"/>
      <c r="N9" s="9"/>
      <c r="O9" s="9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</row>
    <row r="10" spans="1:31" ht="15.75" customHeight="1">
      <c r="A10" s="17"/>
      <c r="B10" s="11" t="s">
        <v>59</v>
      </c>
      <c r="C10" s="11"/>
      <c r="D10" s="11"/>
      <c r="E10" s="11"/>
      <c r="F10" s="17"/>
      <c r="G10" s="11" t="s">
        <v>60</v>
      </c>
      <c r="H10" s="11"/>
      <c r="I10" s="11"/>
      <c r="J10" s="11"/>
      <c r="K10" s="17"/>
      <c r="L10" s="11" t="s">
        <v>61</v>
      </c>
      <c r="M10" s="11"/>
      <c r="N10" s="11"/>
      <c r="O10" s="11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 spans="1:31" ht="15.75" customHeight="1">
      <c r="A11" s="17"/>
      <c r="B11" s="18"/>
      <c r="C11" s="18"/>
      <c r="D11" s="18"/>
      <c r="E11" s="18"/>
      <c r="F11" s="17"/>
      <c r="G11" s="18"/>
      <c r="H11" s="18"/>
      <c r="I11" s="18"/>
      <c r="J11" s="18"/>
      <c r="K11" s="17"/>
      <c r="L11" s="18"/>
      <c r="M11" s="18"/>
      <c r="N11" s="18"/>
      <c r="O11" s="18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</row>
    <row r="12" spans="1:31" ht="15.75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</row>
    <row r="13" spans="1:31" ht="15.75" customHeight="1">
      <c r="A13" s="17"/>
      <c r="B13" s="7" t="s">
        <v>62</v>
      </c>
      <c r="C13" s="7"/>
      <c r="D13" s="7"/>
      <c r="E13" s="7"/>
      <c r="F13" s="17"/>
      <c r="G13" s="8" t="s">
        <v>63</v>
      </c>
      <c r="H13" s="8"/>
      <c r="I13" s="8"/>
      <c r="J13" s="8"/>
      <c r="K13" s="17"/>
      <c r="L13" s="12" t="s">
        <v>64</v>
      </c>
      <c r="M13" s="12"/>
      <c r="N13" s="12"/>
      <c r="O13" s="12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</row>
    <row r="14" spans="1:31" ht="15.75" customHeight="1">
      <c r="A14" s="17"/>
      <c r="B14" s="9" t="s">
        <v>65</v>
      </c>
      <c r="C14" s="9"/>
      <c r="D14" s="9"/>
      <c r="E14" s="9"/>
      <c r="F14" s="17"/>
      <c r="G14" s="9" t="s">
        <v>66</v>
      </c>
      <c r="H14" s="9"/>
      <c r="I14" s="9"/>
      <c r="J14" s="9"/>
      <c r="K14" s="17"/>
      <c r="L14" s="9" t="s">
        <v>67</v>
      </c>
      <c r="M14" s="9"/>
      <c r="N14" s="9"/>
      <c r="O14" s="9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</row>
    <row r="15" spans="1:31" ht="15.75" customHeight="1">
      <c r="A15" s="17"/>
      <c r="B15" s="9"/>
      <c r="C15" s="9"/>
      <c r="D15" s="9"/>
      <c r="E15" s="9"/>
      <c r="F15" s="17"/>
      <c r="G15" s="9"/>
      <c r="H15" s="9"/>
      <c r="I15" s="9"/>
      <c r="J15" s="9"/>
      <c r="K15" s="17"/>
      <c r="L15" s="9"/>
      <c r="M15" s="9"/>
      <c r="N15" s="9"/>
      <c r="O15" s="9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</row>
    <row r="16" spans="1:31" ht="15.75" customHeight="1">
      <c r="A16" s="17"/>
      <c r="B16" s="9"/>
      <c r="C16" s="9"/>
      <c r="D16" s="9"/>
      <c r="E16" s="9"/>
      <c r="F16" s="17"/>
      <c r="G16" s="9"/>
      <c r="H16" s="9"/>
      <c r="I16" s="9"/>
      <c r="J16" s="9"/>
      <c r="K16" s="17"/>
      <c r="L16" s="9"/>
      <c r="M16" s="9"/>
      <c r="N16" s="9"/>
      <c r="O16" s="9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</row>
    <row r="17" spans="1:31" ht="15.75" customHeight="1">
      <c r="A17" s="17"/>
      <c r="B17" s="7" t="s">
        <v>68</v>
      </c>
      <c r="C17" s="7"/>
      <c r="D17" s="7"/>
      <c r="E17" s="7"/>
      <c r="F17" s="17"/>
      <c r="G17" s="11" t="s">
        <v>69</v>
      </c>
      <c r="H17" s="11"/>
      <c r="I17" s="11"/>
      <c r="J17" s="11"/>
      <c r="K17" s="17"/>
      <c r="L17" s="11" t="s">
        <v>70</v>
      </c>
      <c r="M17" s="11"/>
      <c r="N17" s="11"/>
      <c r="O17" s="11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</row>
    <row r="18" spans="1:31" ht="15.75" customHeight="1">
      <c r="A18" s="17"/>
      <c r="B18" s="18"/>
      <c r="C18" s="18"/>
      <c r="D18" s="18"/>
      <c r="E18" s="18"/>
      <c r="F18" s="17"/>
      <c r="G18" s="18"/>
      <c r="H18" s="18"/>
      <c r="I18" s="18"/>
      <c r="J18" s="18"/>
      <c r="K18" s="17"/>
      <c r="L18" s="18"/>
      <c r="M18" s="18"/>
      <c r="N18" s="18"/>
      <c r="O18" s="18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</row>
    <row r="19" spans="1:31" ht="15.7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</row>
    <row r="20" spans="1:31" ht="1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 spans="1:31" ht="1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</row>
    <row r="22" spans="1:31" ht="1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</row>
    <row r="23" spans="1:31" ht="1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</row>
    <row r="24" spans="1:31" ht="1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</row>
    <row r="25" spans="1:31" ht="1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</row>
    <row r="26" spans="1:31" ht="1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</row>
    <row r="27" spans="1:31" ht="1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</row>
    <row r="28" spans="1:31" ht="1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</row>
    <row r="29" spans="1:31" ht="1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</row>
    <row r="30" spans="1:31" ht="1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</row>
    <row r="31" spans="1:31" ht="1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</row>
    <row r="32" spans="1:31" ht="1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</row>
    <row r="33" spans="1:31" ht="1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</row>
    <row r="34" spans="1:31" ht="1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</row>
    <row r="35" spans="1:31" ht="1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</row>
    <row r="36" spans="1:31" ht="1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</row>
    <row r="37" spans="1:31" ht="1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</row>
    <row r="38" spans="1:31" ht="1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</row>
    <row r="39" spans="1:31" ht="1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</row>
    <row r="40" spans="1:31" ht="7.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</row>
    <row r="41" spans="1:31" ht="21.75" customHeight="1">
      <c r="A41" s="17"/>
      <c r="B41" s="26" t="s">
        <v>71</v>
      </c>
      <c r="C41" s="26" t="s">
        <v>72</v>
      </c>
      <c r="D41" s="26" t="s">
        <v>73</v>
      </c>
      <c r="E41" s="26" t="s">
        <v>74</v>
      </c>
      <c r="F41" s="26" t="s">
        <v>75</v>
      </c>
      <c r="G41" s="26" t="s">
        <v>76</v>
      </c>
      <c r="H41" s="26" t="s">
        <v>77</v>
      </c>
      <c r="I41" s="26" t="s">
        <v>78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</row>
    <row r="42" spans="1:31" ht="18" customHeight="1">
      <c r="A42" s="17"/>
      <c r="B42" s="20" t="s">
        <v>79</v>
      </c>
      <c r="C42" s="20" t="s">
        <v>80</v>
      </c>
      <c r="D42" s="20" t="s">
        <v>81</v>
      </c>
      <c r="E42" s="20" t="s">
        <v>82</v>
      </c>
      <c r="F42" s="20" t="s">
        <v>83</v>
      </c>
      <c r="G42" s="20" t="s">
        <v>84</v>
      </c>
      <c r="H42" s="20" t="s">
        <v>85</v>
      </c>
      <c r="I42" s="20" t="s">
        <v>86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</row>
    <row r="43" spans="1:31" ht="18" customHeight="1">
      <c r="A43" s="17"/>
      <c r="B43" s="22" t="s">
        <v>87</v>
      </c>
      <c r="C43" s="22" t="s">
        <v>88</v>
      </c>
      <c r="D43" s="22" t="s">
        <v>89</v>
      </c>
      <c r="E43" s="22" t="s">
        <v>90</v>
      </c>
      <c r="F43" s="22" t="s">
        <v>91</v>
      </c>
      <c r="G43" s="22" t="s">
        <v>92</v>
      </c>
      <c r="H43" s="22" t="s">
        <v>85</v>
      </c>
      <c r="I43" s="22" t="s">
        <v>86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</row>
    <row r="44" spans="1:31" ht="18" customHeight="1">
      <c r="A44" s="17"/>
      <c r="B44" s="20" t="s">
        <v>93</v>
      </c>
      <c r="C44" s="20" t="s">
        <v>94</v>
      </c>
      <c r="D44" s="20" t="s">
        <v>95</v>
      </c>
      <c r="E44" s="20" t="s">
        <v>96</v>
      </c>
      <c r="F44" s="20" t="s">
        <v>97</v>
      </c>
      <c r="G44" s="20" t="s">
        <v>98</v>
      </c>
      <c r="H44" s="20" t="s">
        <v>85</v>
      </c>
      <c r="I44" s="20" t="s">
        <v>99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</row>
    <row r="45" spans="1:31" ht="18" customHeight="1">
      <c r="A45" s="17"/>
      <c r="B45" s="22" t="s">
        <v>100</v>
      </c>
      <c r="C45" s="22" t="s">
        <v>101</v>
      </c>
      <c r="D45" s="22" t="s">
        <v>102</v>
      </c>
      <c r="E45" s="22" t="s">
        <v>103</v>
      </c>
      <c r="F45" s="22" t="s">
        <v>104</v>
      </c>
      <c r="G45" s="22" t="s">
        <v>105</v>
      </c>
      <c r="H45" s="22" t="s">
        <v>85</v>
      </c>
      <c r="I45" s="22" t="s">
        <v>106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</row>
    <row r="46" spans="1:31" ht="18" customHeight="1">
      <c r="A46" s="17"/>
      <c r="B46" s="20" t="s">
        <v>107</v>
      </c>
      <c r="C46" s="20" t="s">
        <v>108</v>
      </c>
      <c r="D46" s="20" t="s">
        <v>109</v>
      </c>
      <c r="E46" s="20" t="s">
        <v>110</v>
      </c>
      <c r="F46" s="20" t="s">
        <v>111</v>
      </c>
      <c r="G46" s="20" t="s">
        <v>112</v>
      </c>
      <c r="H46" s="20" t="s">
        <v>113</v>
      </c>
      <c r="I46" s="20" t="s">
        <v>114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</row>
    <row r="47" spans="1:31" ht="18" customHeight="1">
      <c r="A47" s="17"/>
      <c r="B47" s="22" t="s">
        <v>115</v>
      </c>
      <c r="C47" s="22" t="s">
        <v>116</v>
      </c>
      <c r="D47" s="22" t="s">
        <v>117</v>
      </c>
      <c r="E47" s="22" t="s">
        <v>118</v>
      </c>
      <c r="F47" s="22" t="s">
        <v>119</v>
      </c>
      <c r="G47" s="22" t="s">
        <v>120</v>
      </c>
      <c r="H47" s="22" t="s">
        <v>85</v>
      </c>
      <c r="I47" s="22" t="s">
        <v>121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</row>
    <row r="48" spans="1:31" ht="18" customHeight="1">
      <c r="A48" s="17"/>
      <c r="B48" s="20" t="s">
        <v>122</v>
      </c>
      <c r="C48" s="20" t="s">
        <v>123</v>
      </c>
      <c r="D48" s="20" t="s">
        <v>124</v>
      </c>
      <c r="E48" s="20" t="s">
        <v>125</v>
      </c>
      <c r="F48" s="20" t="s">
        <v>126</v>
      </c>
      <c r="G48" s="20" t="s">
        <v>127</v>
      </c>
      <c r="H48" s="20" t="s">
        <v>85</v>
      </c>
      <c r="I48" s="20" t="s">
        <v>128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</row>
    <row r="49" spans="1:31" ht="18" customHeight="1">
      <c r="A49" s="17"/>
      <c r="B49" s="22" t="s">
        <v>129</v>
      </c>
      <c r="C49" s="22" t="s">
        <v>130</v>
      </c>
      <c r="D49" s="22" t="s">
        <v>131</v>
      </c>
      <c r="E49" s="22" t="s">
        <v>132</v>
      </c>
      <c r="F49" s="22" t="s">
        <v>133</v>
      </c>
      <c r="G49" s="22" t="s">
        <v>134</v>
      </c>
      <c r="H49" s="22" t="s">
        <v>135</v>
      </c>
      <c r="I49" s="22" t="s">
        <v>136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</row>
    <row r="50" spans="1:31" ht="1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</row>
    <row r="51" spans="1:31" ht="1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</row>
    <row r="52" spans="1:31" ht="1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</row>
    <row r="53" spans="1:31" ht="1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</row>
    <row r="54" spans="1:31" ht="1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</row>
    <row r="55" spans="1:31" ht="1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</row>
    <row r="56" spans="1:31" ht="1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</row>
    <row r="57" spans="1:31" ht="1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</row>
    <row r="58" spans="1:31" ht="1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</row>
    <row r="59" spans="1:31" ht="1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</row>
    <row r="60" spans="1:31" ht="1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</row>
    <row r="61" spans="1:31" ht="1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</row>
    <row r="62" spans="1:31" ht="1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</row>
    <row r="63" spans="1:31" ht="1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</row>
    <row r="64" spans="1:31" ht="1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</row>
    <row r="65" spans="1:31" ht="1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</row>
    <row r="66" spans="1:31" ht="1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</row>
    <row r="67" spans="1:31" ht="1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</row>
    <row r="68" spans="1:31" ht="1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</row>
    <row r="69" spans="1:31" ht="1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</row>
    <row r="70" spans="1:31" ht="1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</row>
    <row r="71" spans="1:31" ht="1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</row>
    <row r="72" spans="1:31" ht="1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</row>
    <row r="73" spans="1:31" ht="1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</row>
    <row r="74" spans="1:31" ht="1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</row>
    <row r="75" spans="1:31" ht="1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</row>
    <row r="76" spans="1:31" ht="1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</row>
    <row r="77" spans="1:31" ht="1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</row>
    <row r="78" spans="1:31" ht="1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</row>
    <row r="79" spans="1:31" ht="1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</row>
  </sheetData>
  <mergeCells count="19">
    <mergeCell ref="B14:E16"/>
    <mergeCell ref="G14:J16"/>
    <mergeCell ref="L14:O16"/>
    <mergeCell ref="B17:E17"/>
    <mergeCell ref="G17:J17"/>
    <mergeCell ref="L17:O17"/>
    <mergeCell ref="B10:E10"/>
    <mergeCell ref="G10:J10"/>
    <mergeCell ref="L10:O10"/>
    <mergeCell ref="B13:E13"/>
    <mergeCell ref="G13:J13"/>
    <mergeCell ref="L13:O13"/>
    <mergeCell ref="B2:J4"/>
    <mergeCell ref="B6:E6"/>
    <mergeCell ref="G6:J6"/>
    <mergeCell ref="L6:O6"/>
    <mergeCell ref="B7:E9"/>
    <mergeCell ref="G7:J9"/>
    <mergeCell ref="L7:O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ColWidth="8.6640625" defaultRowHeight="14.4"/>
  <sheetData>
    <row r="1" spans="1:8" ht="15" customHeight="1">
      <c r="A1" s="15" t="s">
        <v>137</v>
      </c>
      <c r="B1" s="15" t="s">
        <v>138</v>
      </c>
      <c r="C1" s="15" t="s">
        <v>139</v>
      </c>
      <c r="D1" s="15" t="s">
        <v>140</v>
      </c>
      <c r="E1" s="15" t="s">
        <v>141</v>
      </c>
      <c r="F1" s="15" t="s">
        <v>41</v>
      </c>
      <c r="G1" s="15" t="s">
        <v>77</v>
      </c>
      <c r="H1" s="15" t="s">
        <v>142</v>
      </c>
    </row>
    <row r="2" spans="1:8" ht="15" customHeight="1">
      <c r="A2" s="15" t="s">
        <v>79</v>
      </c>
      <c r="B2" s="15">
        <v>450000</v>
      </c>
      <c r="C2" s="15">
        <v>18000</v>
      </c>
      <c r="D2" s="15">
        <v>720</v>
      </c>
      <c r="E2" s="15">
        <v>12500</v>
      </c>
      <c r="F2" s="15">
        <v>36000</v>
      </c>
      <c r="G2" s="15">
        <v>0.04</v>
      </c>
      <c r="H2" s="15">
        <v>1.88</v>
      </c>
    </row>
    <row r="3" spans="1:8" ht="15" customHeight="1">
      <c r="A3" s="15" t="s">
        <v>87</v>
      </c>
      <c r="B3" s="15">
        <v>320000</v>
      </c>
      <c r="C3" s="15">
        <v>12800</v>
      </c>
      <c r="D3" s="15">
        <v>512</v>
      </c>
      <c r="E3" s="15">
        <v>8900</v>
      </c>
      <c r="F3" s="15">
        <v>25600</v>
      </c>
      <c r="G3" s="15">
        <v>0.04</v>
      </c>
      <c r="H3" s="15">
        <v>1.8764044943820199</v>
      </c>
    </row>
    <row r="4" spans="1:8" ht="15" customHeight="1">
      <c r="A4" s="15" t="s">
        <v>93</v>
      </c>
      <c r="B4" s="15">
        <v>280000</v>
      </c>
      <c r="C4" s="15">
        <v>11200</v>
      </c>
      <c r="D4" s="15">
        <v>448</v>
      </c>
      <c r="E4" s="15">
        <v>7200</v>
      </c>
      <c r="F4" s="15">
        <v>22400</v>
      </c>
      <c r="G4" s="15">
        <v>0.04</v>
      </c>
      <c r="H4" s="15">
        <v>2.1111111111111098</v>
      </c>
    </row>
    <row r="5" spans="1:8" ht="15" customHeight="1">
      <c r="A5" s="15" t="s">
        <v>100</v>
      </c>
      <c r="B5" s="15">
        <v>150000</v>
      </c>
      <c r="C5" s="15">
        <v>6000</v>
      </c>
      <c r="D5" s="15">
        <v>240</v>
      </c>
      <c r="E5" s="15">
        <v>4500</v>
      </c>
      <c r="F5" s="15">
        <v>12000</v>
      </c>
      <c r="G5" s="15">
        <v>0.04</v>
      </c>
      <c r="H5" s="15">
        <v>1.6666666666666701</v>
      </c>
    </row>
    <row r="6" spans="1:8" ht="15" customHeight="1">
      <c r="A6" s="15" t="s">
        <v>107</v>
      </c>
      <c r="B6" s="15">
        <v>95000</v>
      </c>
      <c r="C6" s="15">
        <v>8550</v>
      </c>
      <c r="D6" s="15">
        <v>513</v>
      </c>
      <c r="E6" s="15">
        <v>1200</v>
      </c>
      <c r="F6" s="15">
        <v>25650</v>
      </c>
      <c r="G6" s="15">
        <v>0.09</v>
      </c>
      <c r="H6" s="15">
        <v>20.375</v>
      </c>
    </row>
    <row r="7" spans="1:8" ht="15" customHeight="1">
      <c r="A7" s="15" t="s">
        <v>115</v>
      </c>
      <c r="B7" s="15">
        <v>620000</v>
      </c>
      <c r="C7" s="15">
        <v>24800</v>
      </c>
      <c r="D7" s="15">
        <v>992</v>
      </c>
      <c r="E7" s="15">
        <v>3800</v>
      </c>
      <c r="F7" s="15">
        <v>49600</v>
      </c>
      <c r="G7" s="15">
        <v>0.04</v>
      </c>
      <c r="H7" s="15">
        <v>12.0526315789474</v>
      </c>
    </row>
    <row r="8" spans="1:8" ht="15" customHeight="1">
      <c r="A8" s="15" t="s">
        <v>122</v>
      </c>
      <c r="B8" s="15">
        <v>180000</v>
      </c>
      <c r="C8" s="15">
        <v>7200</v>
      </c>
      <c r="D8" s="15">
        <v>288</v>
      </c>
      <c r="E8" s="15">
        <v>5600</v>
      </c>
      <c r="F8" s="15">
        <v>14400</v>
      </c>
      <c r="G8" s="15">
        <v>0.04</v>
      </c>
      <c r="H8" s="15">
        <v>1.5714285714285701</v>
      </c>
    </row>
    <row r="9" spans="1:8" ht="15" customHeight="1">
      <c r="A9" s="15" t="s">
        <v>129</v>
      </c>
      <c r="B9" s="15">
        <v>390000</v>
      </c>
      <c r="C9" s="15">
        <v>19500</v>
      </c>
      <c r="D9" s="15">
        <v>780</v>
      </c>
      <c r="E9" s="15">
        <v>9800</v>
      </c>
      <c r="F9" s="15">
        <v>39000</v>
      </c>
      <c r="G9" s="15">
        <v>0.05</v>
      </c>
      <c r="H9" s="15">
        <v>2.9795918367346901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E676"/>
  </sheetPr>
  <dimension ref="A1:AE79"/>
  <sheetViews>
    <sheetView showGridLines="0" workbookViewId="0"/>
  </sheetViews>
  <sheetFormatPr defaultColWidth="8.6640625" defaultRowHeight="14.4"/>
  <sheetData>
    <row r="1" spans="1:31" ht="15" customHeight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 spans="1:31" ht="15" customHeight="1">
      <c r="A2" s="16"/>
      <c r="B2" s="5" t="s">
        <v>143</v>
      </c>
      <c r="C2" s="5"/>
      <c r="D2" s="5"/>
      <c r="E2" s="5"/>
      <c r="F2" s="5"/>
      <c r="G2" s="5"/>
      <c r="H2" s="5"/>
      <c r="I2" s="5"/>
      <c r="J2" s="5"/>
      <c r="K2" s="16"/>
      <c r="L2" s="16"/>
      <c r="M2" s="16"/>
      <c r="N2" s="16"/>
      <c r="O2" s="16"/>
      <c r="P2" s="16"/>
      <c r="Q2" s="16"/>
      <c r="R2" s="16"/>
      <c r="S2" s="16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</row>
    <row r="3" spans="1:31" ht="15" customHeight="1">
      <c r="A3" s="16"/>
      <c r="B3" s="5"/>
      <c r="C3" s="5"/>
      <c r="D3" s="5"/>
      <c r="E3" s="5"/>
      <c r="F3" s="5"/>
      <c r="G3" s="5"/>
      <c r="H3" s="5"/>
      <c r="I3" s="5"/>
      <c r="J3" s="5"/>
      <c r="K3" s="16"/>
      <c r="L3" s="16"/>
      <c r="M3" s="16"/>
      <c r="N3" s="16"/>
      <c r="O3" s="16"/>
      <c r="P3" s="16"/>
      <c r="Q3" s="16"/>
      <c r="R3" s="16"/>
      <c r="S3" s="16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</row>
    <row r="4" spans="1:31" ht="15" customHeight="1">
      <c r="A4" s="16"/>
      <c r="B4" s="5"/>
      <c r="C4" s="5"/>
      <c r="D4" s="5"/>
      <c r="E4" s="5"/>
      <c r="F4" s="5"/>
      <c r="G4" s="5"/>
      <c r="H4" s="5"/>
      <c r="I4" s="5"/>
      <c r="J4" s="5"/>
      <c r="K4" s="16"/>
      <c r="L4" s="16"/>
      <c r="M4" s="16"/>
      <c r="N4" s="16"/>
      <c r="O4" s="16"/>
      <c r="P4" s="16"/>
      <c r="Q4" s="16"/>
      <c r="R4" s="16"/>
      <c r="S4" s="16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 spans="1:31" ht="15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</row>
    <row r="6" spans="1:31" ht="27.75" customHeight="1">
      <c r="A6" s="17"/>
      <c r="B6" s="4" t="s">
        <v>144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</row>
    <row r="7" spans="1:31" ht="15.75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2" t="s">
        <v>145</v>
      </c>
      <c r="L7" s="12"/>
      <c r="M7" s="12"/>
      <c r="N7" s="12"/>
      <c r="O7" s="12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</row>
    <row r="8" spans="1:31" ht="15.75" customHeight="1">
      <c r="A8" s="17"/>
      <c r="B8" s="3" t="s">
        <v>146</v>
      </c>
      <c r="C8" s="3"/>
      <c r="D8" s="3"/>
      <c r="E8" s="3"/>
      <c r="F8" s="3"/>
      <c r="G8" s="2">
        <v>2847500</v>
      </c>
      <c r="H8" s="2"/>
      <c r="I8" s="2"/>
      <c r="J8" s="17"/>
      <c r="K8" s="1" t="s">
        <v>5</v>
      </c>
      <c r="L8" s="1"/>
      <c r="M8" s="1"/>
      <c r="N8" s="1"/>
      <c r="O8" s="1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 spans="1:31" ht="15.75" customHeight="1">
      <c r="A9" s="17"/>
      <c r="B9" s="47" t="s">
        <v>147</v>
      </c>
      <c r="C9" s="47"/>
      <c r="D9" s="47"/>
      <c r="E9" s="47"/>
      <c r="F9" s="47"/>
      <c r="G9" s="48">
        <v>-1250000</v>
      </c>
      <c r="H9" s="48"/>
      <c r="I9" s="48"/>
      <c r="J9" s="17"/>
      <c r="K9" s="1"/>
      <c r="L9" s="1"/>
      <c r="M9" s="1"/>
      <c r="N9" s="1"/>
      <c r="O9" s="1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</row>
    <row r="10" spans="1:31" ht="15.75" customHeight="1">
      <c r="A10" s="17"/>
      <c r="B10" s="3" t="s">
        <v>148</v>
      </c>
      <c r="C10" s="3"/>
      <c r="D10" s="3"/>
      <c r="E10" s="3"/>
      <c r="F10" s="3"/>
      <c r="G10" s="2">
        <f>C8+C9</f>
        <v>0</v>
      </c>
      <c r="H10" s="2"/>
      <c r="I10" s="2"/>
      <c r="J10" s="17"/>
      <c r="K10" s="18"/>
      <c r="L10" s="18"/>
      <c r="M10" s="18"/>
      <c r="N10" s="18"/>
      <c r="O10" s="18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 spans="1:31" ht="19.5" customHeight="1">
      <c r="A11" s="17"/>
      <c r="B11" s="47" t="s">
        <v>149</v>
      </c>
      <c r="C11" s="47"/>
      <c r="D11" s="47"/>
      <c r="E11" s="47"/>
      <c r="F11" s="47"/>
      <c r="G11" s="48">
        <v>-650000</v>
      </c>
      <c r="H11" s="48"/>
      <c r="I11" s="48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</row>
    <row r="12" spans="1:31" ht="15.75" customHeight="1">
      <c r="A12" s="17"/>
      <c r="B12" s="47" t="s">
        <v>150</v>
      </c>
      <c r="C12" s="47"/>
      <c r="D12" s="47"/>
      <c r="E12" s="47"/>
      <c r="F12" s="47"/>
      <c r="G12" s="48">
        <v>-120000</v>
      </c>
      <c r="H12" s="48"/>
      <c r="I12" s="48"/>
      <c r="J12" s="17"/>
      <c r="K12" s="11" t="s">
        <v>151</v>
      </c>
      <c r="L12" s="11"/>
      <c r="M12" s="11"/>
      <c r="N12" s="11"/>
      <c r="O12" s="11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</row>
    <row r="13" spans="1:31" ht="15.75" customHeight="1">
      <c r="A13" s="17"/>
      <c r="B13" s="47" t="s">
        <v>152</v>
      </c>
      <c r="C13" s="47"/>
      <c r="D13" s="47"/>
      <c r="E13" s="47"/>
      <c r="F13" s="47"/>
      <c r="G13" s="48">
        <v>-85000</v>
      </c>
      <c r="H13" s="48"/>
      <c r="I13" s="48"/>
      <c r="J13" s="17"/>
      <c r="K13" s="1" t="s">
        <v>6</v>
      </c>
      <c r="L13" s="1"/>
      <c r="M13" s="1"/>
      <c r="N13" s="1"/>
      <c r="O13" s="1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</row>
    <row r="14" spans="1:31" ht="15.75" customHeight="1">
      <c r="A14" s="17"/>
      <c r="B14" s="3" t="s">
        <v>153</v>
      </c>
      <c r="C14" s="3"/>
      <c r="D14" s="3"/>
      <c r="E14" s="3"/>
      <c r="F14" s="3"/>
      <c r="G14" s="2">
        <f>C10+C11+C12+C13</f>
        <v>0</v>
      </c>
      <c r="H14" s="2"/>
      <c r="I14" s="2"/>
      <c r="J14" s="17"/>
      <c r="K14" s="1"/>
      <c r="L14" s="1"/>
      <c r="M14" s="1"/>
      <c r="N14" s="1"/>
      <c r="O14" s="1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</row>
    <row r="15" spans="1:31" ht="15.75" customHeight="1">
      <c r="A15" s="17"/>
      <c r="B15" s="47" t="s">
        <v>154</v>
      </c>
      <c r="C15" s="47"/>
      <c r="D15" s="47"/>
      <c r="E15" s="47"/>
      <c r="F15" s="47"/>
      <c r="G15" s="48">
        <v>-45000</v>
      </c>
      <c r="H15" s="48"/>
      <c r="I15" s="48"/>
      <c r="J15" s="17"/>
      <c r="K15" s="18"/>
      <c r="L15" s="18"/>
      <c r="M15" s="18"/>
      <c r="N15" s="18"/>
      <c r="O15" s="18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</row>
    <row r="16" spans="1:31" ht="19.5" customHeight="1">
      <c r="A16" s="17"/>
      <c r="B16" s="47" t="s">
        <v>155</v>
      </c>
      <c r="C16" s="47"/>
      <c r="D16" s="47"/>
      <c r="E16" s="47"/>
      <c r="F16" s="47"/>
      <c r="G16" s="49">
        <f>C14*0.28</f>
        <v>0</v>
      </c>
      <c r="H16" s="49"/>
      <c r="I16" s="49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</row>
    <row r="17" spans="1:31" ht="15.75" customHeight="1">
      <c r="A17" s="17"/>
      <c r="B17" s="3" t="s">
        <v>156</v>
      </c>
      <c r="C17" s="3"/>
      <c r="D17" s="3"/>
      <c r="E17" s="3"/>
      <c r="F17" s="3"/>
      <c r="G17" s="2">
        <f>C14+C15+C16</f>
        <v>0</v>
      </c>
      <c r="H17" s="2"/>
      <c r="I17" s="2"/>
      <c r="J17" s="17"/>
      <c r="K17" s="10" t="s">
        <v>157</v>
      </c>
      <c r="L17" s="10"/>
      <c r="M17" s="10"/>
      <c r="N17" s="10"/>
      <c r="O17" s="10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</row>
    <row r="18" spans="1:31" ht="15.7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" t="s">
        <v>158</v>
      </c>
      <c r="L18" s="1"/>
      <c r="M18" s="1"/>
      <c r="N18" s="1"/>
      <c r="O18" s="1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</row>
    <row r="19" spans="1:31" ht="15.7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"/>
      <c r="L19" s="1"/>
      <c r="M19" s="1"/>
      <c r="N19" s="1"/>
      <c r="O19" s="1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</row>
    <row r="20" spans="1:31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8"/>
      <c r="L20" s="18"/>
      <c r="M20" s="18"/>
      <c r="N20" s="18"/>
      <c r="O20" s="18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 spans="1:31" ht="1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</row>
    <row r="22" spans="1:31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8" t="s">
        <v>159</v>
      </c>
      <c r="L22" s="8"/>
      <c r="M22" s="8"/>
      <c r="N22" s="8"/>
      <c r="O22" s="8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</row>
    <row r="23" spans="1:31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" t="s">
        <v>160</v>
      </c>
      <c r="L23" s="1"/>
      <c r="M23" s="1"/>
      <c r="N23" s="1"/>
      <c r="O23" s="1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</row>
    <row r="24" spans="1:31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"/>
      <c r="L24" s="1"/>
      <c r="M24" s="1"/>
      <c r="N24" s="1"/>
      <c r="O24" s="1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</row>
    <row r="25" spans="1:31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8"/>
      <c r="L25" s="18"/>
      <c r="M25" s="18"/>
      <c r="N25" s="18"/>
      <c r="O25" s="18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</row>
    <row r="26" spans="1:31" ht="1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</row>
    <row r="27" spans="1:31" ht="1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</row>
    <row r="28" spans="1:31" ht="1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</row>
    <row r="29" spans="1:31" ht="1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</row>
    <row r="30" spans="1:31" ht="1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</row>
    <row r="31" spans="1:31" ht="1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</row>
    <row r="32" spans="1:31" ht="1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</row>
    <row r="33" spans="1:31" ht="1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</row>
    <row r="34" spans="1:31" ht="1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</row>
    <row r="35" spans="1:31" ht="1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</row>
    <row r="36" spans="1:31" ht="1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</row>
    <row r="37" spans="1:31" ht="1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</row>
    <row r="38" spans="1:31" ht="1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</row>
    <row r="39" spans="1:31" ht="1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</row>
    <row r="40" spans="1:31" ht="1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</row>
    <row r="41" spans="1:31" ht="1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</row>
    <row r="42" spans="1:31" ht="1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</row>
    <row r="43" spans="1:31" ht="1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</row>
    <row r="44" spans="1:31" ht="1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</row>
    <row r="45" spans="1:31" ht="1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</row>
    <row r="46" spans="1:31" ht="1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</row>
    <row r="47" spans="1:31" ht="1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</row>
    <row r="48" spans="1:31" ht="1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</row>
    <row r="49" spans="1:31" ht="1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</row>
    <row r="50" spans="1:31" ht="1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</row>
    <row r="51" spans="1:31" ht="1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</row>
    <row r="52" spans="1:31" ht="1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</row>
    <row r="53" spans="1:31" ht="1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</row>
    <row r="54" spans="1:31" ht="1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</row>
    <row r="55" spans="1:31" ht="1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</row>
    <row r="56" spans="1:31" ht="1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</row>
    <row r="57" spans="1:31" ht="1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</row>
    <row r="58" spans="1:31" ht="1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</row>
    <row r="59" spans="1:31" ht="1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</row>
    <row r="60" spans="1:31" ht="1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</row>
    <row r="61" spans="1:31" ht="1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</row>
    <row r="62" spans="1:31" ht="1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</row>
    <row r="63" spans="1:31" ht="1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</row>
    <row r="64" spans="1:31" ht="1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</row>
    <row r="65" spans="1:31" ht="1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</row>
    <row r="66" spans="1:31" ht="1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</row>
    <row r="67" spans="1:31" ht="1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</row>
    <row r="68" spans="1:31" ht="1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</row>
    <row r="69" spans="1:31" ht="1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</row>
    <row r="70" spans="1:31" ht="1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</row>
    <row r="71" spans="1:31" ht="1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</row>
    <row r="72" spans="1:31" ht="1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</row>
    <row r="73" spans="1:31" ht="1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</row>
    <row r="74" spans="1:31" ht="1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</row>
    <row r="75" spans="1:31" ht="1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</row>
    <row r="76" spans="1:31" ht="1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</row>
    <row r="77" spans="1:31" ht="1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</row>
    <row r="78" spans="1:31" ht="1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</row>
    <row r="79" spans="1:31" ht="1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</row>
  </sheetData>
  <mergeCells count="30">
    <mergeCell ref="K17:O17"/>
    <mergeCell ref="K18:O19"/>
    <mergeCell ref="K22:O22"/>
    <mergeCell ref="K23:O24"/>
    <mergeCell ref="B15:F15"/>
    <mergeCell ref="G15:I15"/>
    <mergeCell ref="B16:F16"/>
    <mergeCell ref="G16:I16"/>
    <mergeCell ref="B17:F17"/>
    <mergeCell ref="G17:I17"/>
    <mergeCell ref="K12:O12"/>
    <mergeCell ref="B13:F13"/>
    <mergeCell ref="G13:I13"/>
    <mergeCell ref="K13:O14"/>
    <mergeCell ref="B14:F14"/>
    <mergeCell ref="G14:I14"/>
    <mergeCell ref="B10:F10"/>
    <mergeCell ref="G10:I10"/>
    <mergeCell ref="B11:F11"/>
    <mergeCell ref="G11:I11"/>
    <mergeCell ref="B12:F12"/>
    <mergeCell ref="G12:I12"/>
    <mergeCell ref="B2:J4"/>
    <mergeCell ref="B6:O6"/>
    <mergeCell ref="K7:O7"/>
    <mergeCell ref="B8:F8"/>
    <mergeCell ref="G8:I8"/>
    <mergeCell ref="K8:O9"/>
    <mergeCell ref="B9:F9"/>
    <mergeCell ref="G9:I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ColWidth="8.6640625" defaultRowHeight="14.4"/>
  <sheetData>
    <row r="1" spans="1:2" ht="15" customHeight="1">
      <c r="A1" s="15" t="s">
        <v>161</v>
      </c>
      <c r="B1" s="15" t="s">
        <v>162</v>
      </c>
    </row>
    <row r="2" spans="1:2" ht="15" customHeight="1">
      <c r="A2" s="15" t="s">
        <v>163</v>
      </c>
      <c r="B2" s="15">
        <v>1250000</v>
      </c>
    </row>
    <row r="3" spans="1:2" ht="15" customHeight="1">
      <c r="A3" s="15" t="s">
        <v>164</v>
      </c>
      <c r="B3" s="15">
        <v>650000</v>
      </c>
    </row>
    <row r="4" spans="1:2" ht="15" customHeight="1">
      <c r="A4" s="15" t="s">
        <v>165</v>
      </c>
      <c r="B4" s="15">
        <v>120000</v>
      </c>
    </row>
    <row r="5" spans="1:2" ht="15" customHeight="1">
      <c r="A5" s="15" t="s">
        <v>166</v>
      </c>
      <c r="B5" s="15">
        <v>85000</v>
      </c>
    </row>
    <row r="6" spans="1:2" ht="15" customHeight="1">
      <c r="A6" s="15" t="s">
        <v>167</v>
      </c>
      <c r="B6" s="15">
        <v>180000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7C4DFF"/>
  </sheetPr>
  <dimension ref="A1:S69"/>
  <sheetViews>
    <sheetView showGridLines="0" workbookViewId="0"/>
  </sheetViews>
  <sheetFormatPr defaultColWidth="8.6640625" defaultRowHeight="14.4"/>
  <cols>
    <col min="1" max="1" width="1.5546875" style="15" customWidth="1"/>
    <col min="2" max="2" width="4" style="15" customWidth="1"/>
    <col min="3" max="3" width="16" style="15" customWidth="1"/>
    <col min="4" max="4" width="24" style="15" customWidth="1"/>
    <col min="5" max="5" width="8" style="15" customWidth="1"/>
    <col min="6" max="6" width="12" style="15" customWidth="1"/>
    <col min="7" max="7" width="10" style="15" customWidth="1"/>
    <col min="8" max="8" width="8" style="15" customWidth="1"/>
    <col min="9" max="9" width="14" style="15" customWidth="1"/>
    <col min="10" max="10" width="1.5546875" style="15" customWidth="1"/>
  </cols>
  <sheetData>
    <row r="1" spans="1:19" ht="6" customHeight="1">
      <c r="A1" s="16"/>
      <c r="B1" s="16"/>
      <c r="C1" s="16"/>
      <c r="D1" s="16"/>
      <c r="E1" s="16"/>
      <c r="F1" s="16"/>
      <c r="G1" s="16"/>
      <c r="H1" s="16"/>
      <c r="I1" s="16"/>
      <c r="J1" s="16"/>
      <c r="K1" s="27"/>
      <c r="L1" s="27"/>
      <c r="M1" s="27"/>
      <c r="N1" s="27"/>
      <c r="O1" s="27"/>
      <c r="P1" s="27"/>
      <c r="Q1" s="27"/>
      <c r="R1" s="27"/>
      <c r="S1" s="27"/>
    </row>
    <row r="2" spans="1:19" ht="13.5" customHeight="1">
      <c r="A2" s="16"/>
      <c r="B2" s="50" t="s">
        <v>168</v>
      </c>
      <c r="C2" s="50"/>
      <c r="D2" s="50"/>
      <c r="E2" s="50"/>
      <c r="F2" s="50"/>
      <c r="G2" s="51" t="s">
        <v>169</v>
      </c>
      <c r="H2" s="51"/>
      <c r="I2" s="51"/>
      <c r="J2" s="16"/>
      <c r="K2" s="27"/>
      <c r="L2" s="27"/>
      <c r="M2" s="27"/>
      <c r="N2" s="27"/>
      <c r="O2" s="27"/>
      <c r="P2" s="27"/>
      <c r="Q2" s="27"/>
      <c r="R2" s="27"/>
      <c r="S2" s="27"/>
    </row>
    <row r="3" spans="1:19" ht="13.5" customHeight="1">
      <c r="A3" s="16"/>
      <c r="B3" s="50"/>
      <c r="C3" s="50"/>
      <c r="D3" s="50"/>
      <c r="E3" s="50"/>
      <c r="F3" s="50"/>
      <c r="G3" s="51"/>
      <c r="H3" s="51"/>
      <c r="I3" s="51"/>
      <c r="J3" s="16"/>
      <c r="K3" s="27"/>
      <c r="L3" s="27"/>
      <c r="M3" s="27"/>
      <c r="N3" s="27"/>
      <c r="O3" s="27"/>
      <c r="P3" s="27"/>
      <c r="Q3" s="27"/>
      <c r="R3" s="27"/>
      <c r="S3" s="27"/>
    </row>
    <row r="4" spans="1:19" ht="13.5" customHeight="1">
      <c r="A4" s="16"/>
      <c r="B4" s="50"/>
      <c r="C4" s="50"/>
      <c r="D4" s="50"/>
      <c r="E4" s="50"/>
      <c r="F4" s="50"/>
      <c r="G4" s="51"/>
      <c r="H4" s="51"/>
      <c r="I4" s="51"/>
      <c r="J4" s="16"/>
      <c r="K4" s="27"/>
      <c r="L4" s="27"/>
      <c r="M4" s="27"/>
      <c r="N4" s="27"/>
      <c r="O4" s="27"/>
      <c r="P4" s="27"/>
      <c r="Q4" s="27"/>
      <c r="R4" s="27"/>
      <c r="S4" s="27"/>
    </row>
    <row r="5" spans="1:19" ht="13.5" customHeight="1">
      <c r="A5" s="16"/>
      <c r="B5" s="50"/>
      <c r="C5" s="50"/>
      <c r="D5" s="50"/>
      <c r="E5" s="50"/>
      <c r="F5" s="50"/>
      <c r="G5" s="51"/>
      <c r="H5" s="51"/>
      <c r="I5" s="51"/>
      <c r="J5" s="16"/>
      <c r="K5" s="27"/>
      <c r="L5" s="27"/>
      <c r="M5" s="27"/>
      <c r="N5" s="27"/>
      <c r="O5" s="27"/>
      <c r="P5" s="27"/>
      <c r="Q5" s="27"/>
      <c r="R5" s="27"/>
      <c r="S5" s="27"/>
    </row>
    <row r="6" spans="1:19" ht="13.5" customHeight="1">
      <c r="A6" s="16"/>
      <c r="B6" s="52" t="s">
        <v>170</v>
      </c>
      <c r="C6" s="52"/>
      <c r="D6" s="52"/>
      <c r="E6" s="52"/>
      <c r="F6" s="52"/>
      <c r="G6" s="53" t="s">
        <v>171</v>
      </c>
      <c r="H6" s="53"/>
      <c r="I6" s="53"/>
      <c r="J6" s="16"/>
      <c r="K6" s="27"/>
      <c r="L6" s="27"/>
      <c r="M6" s="27"/>
      <c r="N6" s="27"/>
      <c r="O6" s="27"/>
      <c r="P6" s="27"/>
      <c r="Q6" s="27"/>
      <c r="R6" s="27"/>
      <c r="S6" s="27"/>
    </row>
    <row r="7" spans="1:19" ht="13.5" customHeight="1">
      <c r="A7" s="16"/>
      <c r="B7" s="52"/>
      <c r="C7" s="52"/>
      <c r="D7" s="52"/>
      <c r="E7" s="52"/>
      <c r="F7" s="52"/>
      <c r="G7" s="53"/>
      <c r="H7" s="53"/>
      <c r="I7" s="53"/>
      <c r="J7" s="16"/>
      <c r="K7" s="27"/>
      <c r="L7" s="27"/>
      <c r="M7" s="27"/>
      <c r="N7" s="27"/>
      <c r="O7" s="27"/>
      <c r="P7" s="27"/>
      <c r="Q7" s="27"/>
      <c r="R7" s="27"/>
      <c r="S7" s="27"/>
    </row>
    <row r="8" spans="1:19" ht="13.5" customHeight="1">
      <c r="A8" s="16"/>
      <c r="B8" s="52"/>
      <c r="C8" s="52"/>
      <c r="D8" s="52"/>
      <c r="E8" s="52"/>
      <c r="F8" s="52"/>
      <c r="G8" s="53"/>
      <c r="H8" s="53"/>
      <c r="I8" s="53"/>
      <c r="J8" s="16"/>
      <c r="K8" s="27"/>
      <c r="L8" s="27"/>
      <c r="M8" s="27"/>
      <c r="N8" s="27"/>
      <c r="O8" s="27"/>
      <c r="P8" s="27"/>
      <c r="Q8" s="27"/>
      <c r="R8" s="27"/>
      <c r="S8" s="27"/>
    </row>
    <row r="9" spans="1:19" ht="6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27"/>
      <c r="L9" s="27"/>
      <c r="M9" s="27"/>
      <c r="N9" s="27"/>
      <c r="O9" s="27"/>
      <c r="P9" s="27"/>
      <c r="Q9" s="27"/>
      <c r="R9" s="27"/>
      <c r="S9" s="27"/>
    </row>
    <row r="10" spans="1:19" ht="19.5" customHeight="1">
      <c r="A10" s="27"/>
      <c r="B10" s="54" t="s">
        <v>172</v>
      </c>
      <c r="C10" s="54"/>
      <c r="D10" s="54"/>
      <c r="E10" s="54"/>
      <c r="F10" s="27"/>
      <c r="G10" s="54" t="s">
        <v>173</v>
      </c>
      <c r="H10" s="54"/>
      <c r="I10" s="54"/>
      <c r="J10" s="27"/>
      <c r="K10" s="27"/>
      <c r="L10" s="27"/>
      <c r="M10" s="27"/>
      <c r="N10" s="27"/>
      <c r="O10" s="27"/>
      <c r="P10" s="27"/>
      <c r="Q10" s="27"/>
      <c r="R10" s="27"/>
      <c r="S10" s="27"/>
    </row>
    <row r="11" spans="1:19" ht="18" customHeight="1">
      <c r="A11" s="27"/>
      <c r="B11" s="28" t="s">
        <v>174</v>
      </c>
      <c r="C11" s="55" t="s">
        <v>175</v>
      </c>
      <c r="D11" s="55"/>
      <c r="E11" s="55"/>
      <c r="F11" s="27"/>
      <c r="G11" s="28" t="s">
        <v>176</v>
      </c>
      <c r="H11" s="56" t="s">
        <v>177</v>
      </c>
      <c r="I11" s="56"/>
      <c r="J11" s="27"/>
      <c r="K11" s="27"/>
      <c r="L11" s="27"/>
      <c r="M11" s="27"/>
      <c r="N11" s="27"/>
      <c r="O11" s="27"/>
      <c r="P11" s="27"/>
      <c r="Q11" s="27"/>
      <c r="R11" s="27"/>
      <c r="S11" s="27"/>
    </row>
    <row r="12" spans="1:19" ht="18" customHeight="1">
      <c r="A12" s="27"/>
      <c r="B12" s="29" t="s">
        <v>178</v>
      </c>
      <c r="C12" s="55"/>
      <c r="D12" s="55"/>
      <c r="E12" s="55"/>
      <c r="F12" s="27"/>
      <c r="G12" s="28" t="s">
        <v>179</v>
      </c>
      <c r="H12" s="56" t="s">
        <v>180</v>
      </c>
      <c r="I12" s="56"/>
      <c r="J12" s="27"/>
      <c r="K12" s="27"/>
      <c r="L12" s="27"/>
      <c r="M12" s="27"/>
      <c r="N12" s="27"/>
      <c r="O12" s="27"/>
      <c r="P12" s="27"/>
      <c r="Q12" s="27"/>
      <c r="R12" s="27"/>
      <c r="S12" s="27"/>
    </row>
    <row r="13" spans="1:19" ht="18" customHeight="1">
      <c r="A13" s="27"/>
      <c r="B13" s="29" t="s">
        <v>181</v>
      </c>
      <c r="C13" s="55"/>
      <c r="D13" s="55"/>
      <c r="E13" s="55"/>
      <c r="F13" s="27"/>
      <c r="G13" s="28" t="s">
        <v>182</v>
      </c>
      <c r="H13" s="56" t="s">
        <v>183</v>
      </c>
      <c r="I13" s="56"/>
      <c r="J13" s="27"/>
      <c r="K13" s="27"/>
      <c r="L13" s="27"/>
      <c r="M13" s="27"/>
      <c r="N13" s="27"/>
      <c r="O13" s="27"/>
      <c r="P13" s="27"/>
      <c r="Q13" s="27"/>
      <c r="R13" s="27"/>
      <c r="S13" s="27"/>
    </row>
    <row r="14" spans="1:19" ht="18" customHeight="1">
      <c r="A14" s="27"/>
      <c r="B14" s="29" t="s">
        <v>184</v>
      </c>
      <c r="C14" s="55"/>
      <c r="D14" s="55"/>
      <c r="E14" s="55"/>
      <c r="F14" s="27"/>
      <c r="G14" s="28" t="s">
        <v>185</v>
      </c>
      <c r="H14" s="57" t="s">
        <v>186</v>
      </c>
      <c r="I14" s="57"/>
      <c r="J14" s="27"/>
      <c r="K14" s="27"/>
      <c r="L14" s="27"/>
      <c r="M14" s="27"/>
      <c r="N14" s="27"/>
      <c r="O14" s="27"/>
      <c r="P14" s="27"/>
      <c r="Q14" s="27"/>
      <c r="R14" s="27"/>
      <c r="S14" s="27"/>
    </row>
    <row r="15" spans="1:19" ht="18" customHeight="1">
      <c r="A15" s="27"/>
      <c r="B15" s="29" t="s">
        <v>187</v>
      </c>
      <c r="C15" s="55"/>
      <c r="D15" s="55"/>
      <c r="E15" s="55"/>
      <c r="F15" s="27"/>
      <c r="G15" s="28" t="s">
        <v>188</v>
      </c>
      <c r="H15" s="56" t="s">
        <v>189</v>
      </c>
      <c r="I15" s="56"/>
      <c r="J15" s="27"/>
      <c r="K15" s="27"/>
      <c r="L15" s="27"/>
      <c r="M15" s="27"/>
      <c r="N15" s="27"/>
      <c r="O15" s="27"/>
      <c r="P15" s="27"/>
      <c r="Q15" s="27"/>
      <c r="R15" s="27"/>
      <c r="S15" s="27"/>
    </row>
    <row r="16" spans="1:19" ht="1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</row>
    <row r="17" spans="1:19" ht="7.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</row>
    <row r="18" spans="1:19" ht="24" customHeight="1">
      <c r="A18" s="27"/>
      <c r="B18" s="30" t="s">
        <v>190</v>
      </c>
      <c r="C18" s="30" t="s">
        <v>191</v>
      </c>
      <c r="D18" s="30" t="s">
        <v>192</v>
      </c>
      <c r="E18" s="30" t="s">
        <v>193</v>
      </c>
      <c r="F18" s="30" t="s">
        <v>194</v>
      </c>
      <c r="G18" s="30" t="s">
        <v>195</v>
      </c>
      <c r="H18" s="30" t="s">
        <v>196</v>
      </c>
      <c r="I18" s="30" t="s">
        <v>39</v>
      </c>
      <c r="J18" s="27"/>
      <c r="K18" s="27"/>
      <c r="L18" s="27"/>
      <c r="M18" s="27"/>
      <c r="N18" s="27"/>
      <c r="O18" s="27"/>
      <c r="P18" s="27"/>
      <c r="Q18" s="27"/>
      <c r="R18" s="27"/>
      <c r="S18" s="27"/>
    </row>
    <row r="19" spans="1:19" ht="21.75" customHeight="1">
      <c r="A19" s="27"/>
      <c r="B19" s="31">
        <v>1</v>
      </c>
      <c r="C19" s="32" t="s">
        <v>197</v>
      </c>
      <c r="D19" s="33" t="s">
        <v>198</v>
      </c>
      <c r="E19" s="33">
        <v>1</v>
      </c>
      <c r="F19" s="34">
        <v>4500</v>
      </c>
      <c r="G19" s="35">
        <v>0.18</v>
      </c>
      <c r="H19" s="36"/>
      <c r="I19" s="36">
        <f>E19*F19*(1-G19)*(1+H19)</f>
        <v>3690.0000000000005</v>
      </c>
      <c r="J19" s="27"/>
      <c r="K19" s="27"/>
      <c r="L19" s="27"/>
      <c r="M19" s="27"/>
      <c r="N19" s="27"/>
      <c r="O19" s="27"/>
      <c r="P19" s="27"/>
      <c r="Q19" s="27"/>
      <c r="R19" s="27"/>
      <c r="S19" s="27"/>
    </row>
    <row r="20" spans="1:19" ht="21.75" customHeight="1">
      <c r="A20" s="27"/>
      <c r="B20" s="37">
        <v>2</v>
      </c>
      <c r="C20" s="38" t="s">
        <v>199</v>
      </c>
      <c r="D20" s="39" t="s">
        <v>165</v>
      </c>
      <c r="E20" s="39">
        <v>3</v>
      </c>
      <c r="F20" s="40">
        <v>1200</v>
      </c>
      <c r="G20" s="41">
        <v>0.18</v>
      </c>
      <c r="H20" s="42"/>
      <c r="I20" s="42">
        <f>E20*F20*(1-G20)*(1+H20)</f>
        <v>2952</v>
      </c>
      <c r="J20" s="27"/>
      <c r="K20" s="27"/>
      <c r="L20" s="27"/>
      <c r="M20" s="27"/>
      <c r="N20" s="27"/>
      <c r="O20" s="27"/>
      <c r="P20" s="27"/>
      <c r="Q20" s="27"/>
      <c r="R20" s="27"/>
      <c r="S20" s="27"/>
    </row>
    <row r="21" spans="1:19" ht="21.75" customHeight="1">
      <c r="A21" s="27"/>
      <c r="B21" s="31">
        <v>3</v>
      </c>
      <c r="C21" s="32" t="s">
        <v>200</v>
      </c>
      <c r="D21" s="33" t="s">
        <v>198</v>
      </c>
      <c r="E21" s="33">
        <v>1</v>
      </c>
      <c r="F21" s="34">
        <v>2800</v>
      </c>
      <c r="G21" s="35">
        <v>0.18</v>
      </c>
      <c r="H21" s="36"/>
      <c r="I21" s="36">
        <f>E21*F21*(1-G21)*(1+H21)</f>
        <v>2296</v>
      </c>
      <c r="J21" s="27"/>
      <c r="K21" s="27"/>
      <c r="L21" s="27"/>
      <c r="M21" s="27"/>
      <c r="N21" s="27"/>
      <c r="O21" s="27"/>
      <c r="P21" s="27"/>
      <c r="Q21" s="27"/>
      <c r="R21" s="27"/>
      <c r="S21" s="27"/>
    </row>
    <row r="22" spans="1:19" ht="21.75" customHeight="1">
      <c r="A22" s="27"/>
      <c r="B22" s="37">
        <v>4</v>
      </c>
      <c r="C22" s="38" t="s">
        <v>201</v>
      </c>
      <c r="D22" s="39" t="s">
        <v>165</v>
      </c>
      <c r="E22" s="39">
        <v>6</v>
      </c>
      <c r="F22" s="40">
        <v>800</v>
      </c>
      <c r="G22" s="41">
        <v>0.18</v>
      </c>
      <c r="H22" s="42"/>
      <c r="I22" s="42">
        <f>E22*F22*(1-G22)*(1+H22)</f>
        <v>3936.0000000000005</v>
      </c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 spans="1:19" ht="21.75" customHeight="1">
      <c r="A23" s="27"/>
      <c r="B23" s="31">
        <v>5</v>
      </c>
      <c r="C23" s="32" t="s">
        <v>202</v>
      </c>
      <c r="D23" s="33" t="s">
        <v>203</v>
      </c>
      <c r="E23" s="33">
        <v>5</v>
      </c>
      <c r="F23" s="34">
        <v>350</v>
      </c>
      <c r="G23" s="35">
        <v>0.18</v>
      </c>
      <c r="H23" s="36"/>
      <c r="I23" s="36">
        <f>E23*F23*(1-G23)*(1+H23)</f>
        <v>1435</v>
      </c>
      <c r="J23" s="27"/>
      <c r="K23" s="27"/>
      <c r="L23" s="27"/>
      <c r="M23" s="27"/>
      <c r="N23" s="27"/>
      <c r="O23" s="27"/>
      <c r="P23" s="27"/>
      <c r="Q23" s="27"/>
      <c r="R23" s="27"/>
      <c r="S23" s="27"/>
    </row>
    <row r="24" spans="1:19" ht="9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</row>
    <row r="25" spans="1:19" ht="19.5" customHeight="1">
      <c r="A25" s="27"/>
      <c r="B25" s="27"/>
      <c r="C25" s="27"/>
      <c r="D25" s="27"/>
      <c r="E25" s="27"/>
      <c r="F25" s="58" t="s">
        <v>204</v>
      </c>
      <c r="G25" s="58"/>
      <c r="H25" s="58"/>
      <c r="I25" s="43">
        <f>SUMPRODUCT(E19:E23,F19:F23)</f>
        <v>17450</v>
      </c>
      <c r="J25" s="27"/>
      <c r="K25" s="27"/>
      <c r="L25" s="27"/>
      <c r="M25" s="27"/>
      <c r="N25" s="27"/>
      <c r="O25" s="27"/>
      <c r="P25" s="27"/>
      <c r="Q25" s="27"/>
      <c r="R25" s="27"/>
      <c r="S25" s="27"/>
    </row>
    <row r="26" spans="1:19" ht="19.5" customHeight="1">
      <c r="A26" s="27"/>
      <c r="B26" s="27"/>
      <c r="C26" s="27"/>
      <c r="D26" s="27"/>
      <c r="E26" s="27"/>
      <c r="F26" s="58" t="s">
        <v>205</v>
      </c>
      <c r="G26" s="58"/>
      <c r="H26" s="58"/>
      <c r="I26" s="44">
        <f>SUMPRODUCT(E19:E23,F19:F23,G19:G23)</f>
        <v>3141</v>
      </c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19" ht="19.5" customHeight="1">
      <c r="A27" s="27"/>
      <c r="B27" s="27"/>
      <c r="C27" s="27"/>
      <c r="D27" s="27"/>
      <c r="E27" s="27"/>
      <c r="F27" s="58" t="s">
        <v>206</v>
      </c>
      <c r="G27" s="58"/>
      <c r="H27" s="58"/>
      <c r="I27" s="45">
        <f>SUMPRODUCT(E19:E23,F19:F23,(1-G19:G23),H19:H23)</f>
        <v>0</v>
      </c>
      <c r="J27" s="27"/>
      <c r="K27" s="27"/>
      <c r="L27" s="27"/>
      <c r="M27" s="27"/>
      <c r="N27" s="27"/>
      <c r="O27" s="27"/>
      <c r="P27" s="27"/>
      <c r="Q27" s="27"/>
      <c r="R27" s="27"/>
      <c r="S27" s="27"/>
    </row>
    <row r="28" spans="1:19" ht="21.75" customHeight="1">
      <c r="A28" s="27"/>
      <c r="B28" s="27"/>
      <c r="C28" s="27"/>
      <c r="D28" s="27"/>
      <c r="E28" s="27"/>
      <c r="F28" s="59" t="s">
        <v>207</v>
      </c>
      <c r="G28" s="59"/>
      <c r="H28" s="59"/>
      <c r="I28" s="46">
        <f>I25-I26+I27</f>
        <v>14309</v>
      </c>
      <c r="J28" s="27"/>
      <c r="K28" s="27"/>
      <c r="L28" s="27"/>
      <c r="M28" s="27"/>
      <c r="N28" s="27"/>
      <c r="O28" s="27"/>
      <c r="P28" s="27"/>
      <c r="Q28" s="27"/>
      <c r="R28" s="27"/>
      <c r="S28" s="27"/>
    </row>
    <row r="29" spans="1:19" ht="1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</row>
    <row r="30" spans="1:19" ht="19.5" customHeight="1">
      <c r="A30" s="27"/>
      <c r="B30" s="60" t="s">
        <v>208</v>
      </c>
      <c r="C30" s="60"/>
      <c r="D30" s="60"/>
      <c r="E30" s="60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</row>
    <row r="31" spans="1:19" ht="15.75" customHeight="1">
      <c r="A31" s="27"/>
      <c r="B31" s="61" t="s">
        <v>209</v>
      </c>
      <c r="C31" s="61"/>
      <c r="D31" s="61"/>
      <c r="E31" s="61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</row>
    <row r="32" spans="1:19" ht="15.75" customHeight="1">
      <c r="A32" s="27"/>
      <c r="B32" s="61"/>
      <c r="C32" s="61"/>
      <c r="D32" s="61"/>
      <c r="E32" s="61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</row>
    <row r="33" spans="1:19" ht="15.75" customHeight="1">
      <c r="A33" s="27"/>
      <c r="B33" s="61"/>
      <c r="C33" s="61"/>
      <c r="D33" s="61"/>
      <c r="E33" s="61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</row>
    <row r="34" spans="1:19" ht="15.75" customHeight="1">
      <c r="A34" s="27"/>
      <c r="B34" s="61"/>
      <c r="C34" s="61"/>
      <c r="D34" s="61"/>
      <c r="E34" s="61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</row>
    <row r="35" spans="1:19" ht="19.5" customHeight="1">
      <c r="A35" s="16"/>
      <c r="B35" s="62" t="s">
        <v>210</v>
      </c>
      <c r="C35" s="62"/>
      <c r="D35" s="62"/>
      <c r="E35" s="62"/>
      <c r="F35" s="62"/>
      <c r="G35" s="62"/>
      <c r="H35" s="62"/>
      <c r="I35" s="62"/>
      <c r="J35" s="16"/>
      <c r="K35" s="27"/>
      <c r="L35" s="27"/>
      <c r="M35" s="27"/>
      <c r="N35" s="27"/>
      <c r="O35" s="27"/>
      <c r="P35" s="27"/>
      <c r="Q35" s="27"/>
      <c r="R35" s="27"/>
      <c r="S35" s="27"/>
    </row>
    <row r="36" spans="1:19" ht="1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</row>
    <row r="37" spans="1:19" ht="1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</row>
    <row r="38" spans="1:19" ht="1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</row>
    <row r="39" spans="1:19" ht="1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</row>
    <row r="40" spans="1:19" ht="1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</row>
    <row r="41" spans="1:19" ht="1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</row>
    <row r="42" spans="1:19" ht="1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</row>
    <row r="43" spans="1:19" ht="1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</row>
    <row r="44" spans="1:19" ht="1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</row>
    <row r="45" spans="1:19" ht="1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</row>
    <row r="46" spans="1:19" ht="1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</row>
    <row r="47" spans="1:19" ht="1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</row>
    <row r="48" spans="1:19" ht="1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</row>
    <row r="49" spans="1:19" ht="1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</row>
    <row r="50" spans="1:19" ht="1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</row>
    <row r="51" spans="1:19" ht="1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</row>
    <row r="52" spans="1:19" ht="1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</row>
    <row r="53" spans="1:19" ht="1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</row>
    <row r="54" spans="1:19" ht="1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</row>
    <row r="55" spans="1:19" ht="1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</row>
    <row r="56" spans="1:19" ht="1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</row>
    <row r="57" spans="1:19" ht="1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</row>
    <row r="58" spans="1:19" ht="1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</row>
    <row r="59" spans="1:19" ht="1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</row>
    <row r="60" spans="1:19" ht="1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</row>
    <row r="61" spans="1:19" ht="1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</row>
    <row r="62" spans="1:19" ht="1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</row>
    <row r="63" spans="1:19" ht="1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</row>
    <row r="64" spans="1:19" ht="1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</row>
    <row r="65" spans="1:19" ht="1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</row>
    <row r="66" spans="1:19" ht="1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</row>
    <row r="67" spans="1:19" ht="1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</row>
    <row r="68" spans="1:19" ht="1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</row>
    <row r="69" spans="1:19" ht="1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</row>
  </sheetData>
  <mergeCells count="23">
    <mergeCell ref="B35:I35"/>
    <mergeCell ref="F26:H26"/>
    <mergeCell ref="F27:H27"/>
    <mergeCell ref="F28:H28"/>
    <mergeCell ref="B30:E30"/>
    <mergeCell ref="B31:E34"/>
    <mergeCell ref="C14:E14"/>
    <mergeCell ref="H14:I14"/>
    <mergeCell ref="C15:E15"/>
    <mergeCell ref="H15:I15"/>
    <mergeCell ref="F25:H25"/>
    <mergeCell ref="C11:E11"/>
    <mergeCell ref="H11:I11"/>
    <mergeCell ref="C12:E12"/>
    <mergeCell ref="H12:I12"/>
    <mergeCell ref="C13:E13"/>
    <mergeCell ref="H13:I13"/>
    <mergeCell ref="B2:F5"/>
    <mergeCell ref="G2:I5"/>
    <mergeCell ref="B6:F8"/>
    <mergeCell ref="G6:I8"/>
    <mergeCell ref="B10:E10"/>
    <mergeCell ref="G10:I1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ColWidth="8.6640625" defaultRowHeight="14.4"/>
  <sheetData>
    <row r="1" spans="1:2" ht="15" customHeight="1">
      <c r="A1" s="15" t="s">
        <v>211</v>
      </c>
      <c r="B1" s="15" t="s">
        <v>212</v>
      </c>
    </row>
    <row r="2" spans="1:2" ht="15" customHeight="1">
      <c r="A2" s="15" t="s">
        <v>213</v>
      </c>
      <c r="B2" s="15" t="s">
        <v>214</v>
      </c>
    </row>
    <row r="3" spans="1:2" ht="15" customHeight="1">
      <c r="A3" s="15" t="s">
        <v>215</v>
      </c>
      <c r="B3" s="15" t="s">
        <v>216</v>
      </c>
    </row>
    <row r="4" spans="1:2" ht="15" customHeight="1">
      <c r="A4" s="15" t="s">
        <v>217</v>
      </c>
      <c r="B4" s="15" t="s">
        <v>218</v>
      </c>
    </row>
    <row r="5" spans="1:2" ht="15" customHeight="1">
      <c r="A5" s="15" t="s">
        <v>219</v>
      </c>
      <c r="B5" s="15" t="s">
        <v>220</v>
      </c>
    </row>
    <row r="6" spans="1:2" ht="15" customHeight="1">
      <c r="A6" s="15" t="s">
        <v>221</v>
      </c>
      <c r="B6" s="15" t="s">
        <v>222</v>
      </c>
    </row>
    <row r="7" spans="1:2" ht="15" customHeight="1">
      <c r="A7" s="15" t="s">
        <v>223</v>
      </c>
      <c r="B7" s="15" t="s">
        <v>224</v>
      </c>
    </row>
    <row r="8" spans="1:2" ht="15" customHeight="1">
      <c r="A8" s="15" t="s">
        <v>225</v>
      </c>
      <c r="B8" s="15" t="s">
        <v>226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FFFF"/>
  </sheetPr>
  <dimension ref="A1:S59"/>
  <sheetViews>
    <sheetView showGridLines="0" topLeftCell="A10" workbookViewId="0">
      <selection activeCell="B35" sqref="B35:P36"/>
    </sheetView>
  </sheetViews>
  <sheetFormatPr defaultColWidth="8.6640625" defaultRowHeight="14.4"/>
  <cols>
    <col min="1" max="1" width="5" style="15" customWidth="1"/>
    <col min="2" max="2" width="50" style="15" customWidth="1"/>
    <col min="3" max="17" width="4" style="15" customWidth="1"/>
  </cols>
  <sheetData>
    <row r="1" spans="1:19" ht="18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ht="18" customHeight="1">
      <c r="A2" s="17"/>
      <c r="B2" s="63" t="s">
        <v>227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17"/>
      <c r="R2" s="17"/>
      <c r="S2" s="17"/>
    </row>
    <row r="3" spans="1:19" ht="18" customHeight="1">
      <c r="A3" s="17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17"/>
      <c r="R3" s="17"/>
      <c r="S3" s="17"/>
    </row>
    <row r="4" spans="1:19" ht="18" customHeight="1">
      <c r="A4" s="17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17"/>
      <c r="R4" s="17"/>
      <c r="S4" s="17"/>
    </row>
    <row r="5" spans="1:19" ht="15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 ht="21.75" customHeight="1">
      <c r="A6" s="17"/>
      <c r="B6" s="64" t="s">
        <v>228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17"/>
      <c r="R6" s="17"/>
      <c r="S6" s="17"/>
    </row>
    <row r="7" spans="1:19" ht="15.75" customHeight="1">
      <c r="A7" s="17"/>
      <c r="B7" s="65" t="s">
        <v>229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17"/>
      <c r="R7" s="17"/>
      <c r="S7" s="17"/>
    </row>
    <row r="8" spans="1:19" ht="15.75" customHeight="1">
      <c r="A8" s="17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17"/>
      <c r="R8" s="17"/>
      <c r="S8" s="17"/>
    </row>
    <row r="9" spans="1:19" ht="3.75" customHeight="1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</row>
    <row r="10" spans="1:19" ht="21.75" customHeight="1">
      <c r="A10" s="17"/>
      <c r="B10" s="64" t="s">
        <v>230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17"/>
      <c r="R10" s="17"/>
      <c r="S10" s="17"/>
    </row>
    <row r="11" spans="1:19" ht="15.75" customHeight="1">
      <c r="A11" s="17"/>
      <c r="B11" s="65" t="s">
        <v>231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17"/>
      <c r="R11" s="17"/>
      <c r="S11" s="17"/>
    </row>
    <row r="12" spans="1:19" ht="15.75" customHeight="1">
      <c r="A12" s="17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17"/>
      <c r="R12" s="17"/>
      <c r="S12" s="17"/>
    </row>
    <row r="13" spans="1:19" ht="3.75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</row>
    <row r="14" spans="1:19" ht="21.75" customHeight="1">
      <c r="A14" s="17"/>
      <c r="B14" s="64" t="s">
        <v>232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17"/>
      <c r="R14" s="17"/>
      <c r="S14" s="17"/>
    </row>
    <row r="15" spans="1:19" ht="15.75" customHeight="1">
      <c r="A15" s="17"/>
      <c r="B15" s="65" t="s">
        <v>233</v>
      </c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17"/>
      <c r="R15" s="17"/>
      <c r="S15" s="17"/>
    </row>
    <row r="16" spans="1:19" ht="15.75" customHeight="1">
      <c r="A16" s="17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17"/>
      <c r="R16" s="17"/>
      <c r="S16" s="17"/>
    </row>
    <row r="17" spans="1:19" ht="3.75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</row>
    <row r="18" spans="1:19" ht="21.75" customHeight="1">
      <c r="A18" s="17"/>
      <c r="B18" s="64" t="s">
        <v>234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17"/>
      <c r="R18" s="17"/>
      <c r="S18" s="17"/>
    </row>
    <row r="19" spans="1:19" ht="15.75" customHeight="1">
      <c r="A19" s="17"/>
      <c r="B19" s="65" t="s">
        <v>235</v>
      </c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17"/>
      <c r="R19" s="17"/>
      <c r="S19" s="17"/>
    </row>
    <row r="20" spans="1:19" ht="15.75" customHeight="1">
      <c r="A20" s="17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17"/>
      <c r="R20" s="17"/>
      <c r="S20" s="17"/>
    </row>
    <row r="21" spans="1:19" ht="3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spans="1:19" ht="21.75" customHeight="1">
      <c r="A22" s="17"/>
      <c r="B22" s="64" t="s">
        <v>236</v>
      </c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17"/>
      <c r="R22" s="17"/>
      <c r="S22" s="17"/>
    </row>
    <row r="23" spans="1:19" ht="15.75" customHeight="1">
      <c r="A23" s="17"/>
      <c r="B23" s="65" t="s">
        <v>237</v>
      </c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17"/>
      <c r="R23" s="17"/>
      <c r="S23" s="17"/>
    </row>
    <row r="24" spans="1:19" ht="15.75" customHeight="1">
      <c r="A24" s="17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17"/>
      <c r="R24" s="17"/>
      <c r="S24" s="17"/>
    </row>
    <row r="25" spans="1:19" ht="3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</row>
    <row r="26" spans="1:19" ht="21.75" customHeight="1">
      <c r="A26" s="17"/>
      <c r="B26" s="64" t="s">
        <v>238</v>
      </c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17"/>
      <c r="R26" s="17"/>
      <c r="S26" s="17"/>
    </row>
    <row r="27" spans="1:19" ht="15.75" customHeight="1">
      <c r="A27" s="17"/>
      <c r="B27" s="65" t="s">
        <v>239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17"/>
      <c r="R27" s="17"/>
      <c r="S27" s="17"/>
    </row>
    <row r="28" spans="1:19" ht="15.75" customHeight="1">
      <c r="A28" s="17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17"/>
      <c r="R28" s="17"/>
      <c r="S28" s="17"/>
    </row>
    <row r="29" spans="1:19" ht="3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</row>
    <row r="30" spans="1:19" ht="21.75" customHeight="1">
      <c r="A30" s="17"/>
      <c r="B30" s="64" t="s">
        <v>240</v>
      </c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17"/>
      <c r="R30" s="17"/>
      <c r="S30" s="17"/>
    </row>
    <row r="31" spans="1:19" ht="15.75" customHeight="1">
      <c r="A31" s="17"/>
      <c r="B31" s="65" t="s">
        <v>241</v>
      </c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17"/>
      <c r="R31" s="17"/>
      <c r="S31" s="17"/>
    </row>
    <row r="32" spans="1:19" ht="15.75" customHeight="1">
      <c r="A32" s="17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17"/>
      <c r="R32" s="17"/>
      <c r="S32" s="17"/>
    </row>
    <row r="33" spans="1:19" ht="3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</row>
    <row r="34" spans="1:19" ht="21.75" customHeight="1">
      <c r="A34" s="17"/>
      <c r="B34" s="64" t="s">
        <v>242</v>
      </c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17"/>
      <c r="R34" s="17"/>
      <c r="S34" s="17"/>
    </row>
    <row r="35" spans="1:19" ht="15.75" customHeight="1">
      <c r="A35" s="17"/>
      <c r="B35" s="65" t="s">
        <v>243</v>
      </c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17"/>
      <c r="R35" s="17"/>
      <c r="S35" s="17"/>
    </row>
    <row r="36" spans="1:19" ht="15.75" customHeight="1">
      <c r="A36" s="17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17"/>
      <c r="R36" s="17"/>
      <c r="S36" s="17"/>
    </row>
    <row r="37" spans="1:19" ht="3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</row>
    <row r="38" spans="1:19" ht="1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</row>
    <row r="39" spans="1:19" ht="1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</row>
    <row r="40" spans="1:19" ht="1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</row>
    <row r="41" spans="1:19" ht="1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</row>
    <row r="42" spans="1:19" ht="1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</row>
    <row r="43" spans="1:19" ht="1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</row>
    <row r="44" spans="1:19" ht="1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</row>
    <row r="45" spans="1:19" ht="1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</row>
    <row r="46" spans="1:19" ht="1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</row>
    <row r="47" spans="1:19" ht="1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</row>
    <row r="48" spans="1:19" ht="1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</row>
    <row r="49" spans="1:19" ht="1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</row>
    <row r="50" spans="1:19" ht="1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</row>
    <row r="51" spans="1:19" ht="1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</row>
    <row r="52" spans="1:19" ht="1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</row>
    <row r="53" spans="1:19" ht="1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</row>
    <row r="54" spans="1:19" ht="1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</row>
    <row r="55" spans="1:19" ht="1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</row>
    <row r="56" spans="1:19" ht="1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</row>
    <row r="57" spans="1:19" ht="1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</row>
    <row r="58" spans="1:19" ht="1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</row>
    <row r="59" spans="1:19" ht="1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</row>
  </sheetData>
  <mergeCells count="17">
    <mergeCell ref="B34:P34"/>
    <mergeCell ref="B35:P36"/>
    <mergeCell ref="B23:P24"/>
    <mergeCell ref="B26:P26"/>
    <mergeCell ref="B27:P28"/>
    <mergeCell ref="B30:P30"/>
    <mergeCell ref="B31:P32"/>
    <mergeCell ref="B14:P14"/>
    <mergeCell ref="B15:P16"/>
    <mergeCell ref="B18:P18"/>
    <mergeCell ref="B19:P20"/>
    <mergeCell ref="B22:P22"/>
    <mergeCell ref="B2:P4"/>
    <mergeCell ref="B6:P6"/>
    <mergeCell ref="B7:P8"/>
    <mergeCell ref="B10:P10"/>
    <mergeCell ref="B11:P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📊 Sales Dashboard</vt:lpstr>
      <vt:lpstr>Data</vt:lpstr>
      <vt:lpstr>📣 Marketing Dashboard</vt:lpstr>
      <vt:lpstr>MktData</vt:lpstr>
      <vt:lpstr>🏢 Business Overview</vt:lpstr>
      <vt:lpstr>BizData</vt:lpstr>
      <vt:lpstr>🧾 Invoice System</vt:lpstr>
      <vt:lpstr>ClientDB</vt:lpstr>
      <vt:lpstr>📋 README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Jiya Mallick</cp:lastModifiedBy>
  <cp:revision>2</cp:revision>
  <dcterms:created xsi:type="dcterms:W3CDTF">2026-04-22T10:34:16Z</dcterms:created>
  <dcterms:modified xsi:type="dcterms:W3CDTF">2026-04-22T10:48:46Z</dcterms:modified>
  <dc:language>en-US</dc:language>
</cp:coreProperties>
</file>